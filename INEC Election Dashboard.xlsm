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7.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obikp\Downloads\"/>
    </mc:Choice>
  </mc:AlternateContent>
  <xr:revisionPtr revIDLastSave="0" documentId="13_ncr:1_{0B93D0F5-D853-48F7-B405-546EFBFA3384}" xr6:coauthVersionLast="47" xr6:coauthVersionMax="47" xr10:uidLastSave="{00000000-0000-0000-0000-000000000000}"/>
  <bookViews>
    <workbookView showHorizontalScroll="0" showVerticalScroll="0" showSheetTabs="0" xWindow="-108" yWindow="-108" windowWidth="23256" windowHeight="12456" xr2:uid="{00000000-000D-0000-FFFF-FFFF00000000}"/>
  </bookViews>
  <sheets>
    <sheet name="Home" sheetId="15" r:id="rId1"/>
    <sheet name="Sheet7" sheetId="9" state="hidden" r:id="rId2"/>
    <sheet name="Dashboard" sheetId="5" r:id="rId3"/>
    <sheet name="Deep_Insights" sheetId="11" r:id="rId4"/>
    <sheet name="Insights" sheetId="13" r:id="rId5"/>
    <sheet name="Contact_page" sheetId="14" r:id="rId6"/>
    <sheet name="Database" sheetId="1" r:id="rId7"/>
    <sheet name="cleaning_steps" sheetId="2" r:id="rId8"/>
  </sheets>
  <definedNames>
    <definedName name="_xlnm._FilterDatabase" localSheetId="6" hidden="1">Database!$O$1:$P$803</definedName>
    <definedName name="_xlcn.WorksheetConnection_INECElectionDataset.xlsxTable1" hidden="1">Table1[]</definedName>
    <definedName name="Slicer_LGA">#N/A</definedName>
    <definedName name="Slicer_Stat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20" r:id="rId25"/>
  </pivotCaches>
  <extLst>
    <ext xmlns:x14="http://schemas.microsoft.com/office/spreadsheetml/2009/9/main" uri="{876F7934-8845-4945-9796-88D515C7AA90}">
      <x14:pivotCaches>
        <pivotCache cacheId="17" r:id="rId26"/>
      </x14:pivotCaches>
    </ext>
    <ext xmlns:x14="http://schemas.microsoft.com/office/spreadsheetml/2009/9/main" uri="{BBE1A952-AA13-448e-AADC-164F8A28A991}">
      <x14:slicerCaches>
        <x14:slicerCache r:id="rId27"/>
        <x14:slicerCache r:id="rId2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INEC Election Dataset.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B28" i="9"/>
  <c r="B24" i="9"/>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B53" i="9"/>
  <c r="C19" i="9"/>
  <c r="B49" i="9"/>
  <c r="B19" i="9"/>
  <c r="B45" i="9"/>
  <c r="B41" i="9"/>
  <c r="B32" i="9"/>
  <c r="B37"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1260ED-ADC4-440F-86EE-FDC6DFC8321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A92DCCB-2342-47DF-BF66-FEF7BD5118AC}" name="WorksheetConnection_INEC Election Dataset.xlsx!Table1" type="102" refreshedVersion="8" minRefreshableVersion="5">
    <extLst>
      <ext xmlns:x15="http://schemas.microsoft.com/office/spreadsheetml/2010/11/main" uri="{DE250136-89BD-433C-8126-D09CA5730AF9}">
        <x15:connection id="Table1" autoDelete="1">
          <x15:rangePr sourceName="_xlcn.WorksheetConnection_INECElectionDataset.xlsxTable1"/>
        </x15:connection>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<sst xmlns="http://schemas.openxmlformats.org/spreadsheetml/2006/main" count="3325" uniqueCount="993">
  <si>
    <t>PollingUnitID</t>
  </si>
  <si>
    <t>State</t>
  </si>
  <si>
    <t>LGA</t>
  </si>
  <si>
    <t>Ward</t>
  </si>
  <si>
    <t>RegisteredVoters</t>
  </si>
  <si>
    <t>PartyAVotes</t>
  </si>
  <si>
    <t>PartyBVotes</t>
  </si>
  <si>
    <t>PartyCVotes</t>
  </si>
  <si>
    <t>TotalVotesCast</t>
  </si>
  <si>
    <t>PU001</t>
  </si>
  <si>
    <t>Lagos</t>
  </si>
  <si>
    <t>Surulere</t>
  </si>
  <si>
    <t>Ward A</t>
  </si>
  <si>
    <t>PU002</t>
  </si>
  <si>
    <t>Eti-Osa</t>
  </si>
  <si>
    <t>Kano</t>
  </si>
  <si>
    <t>Nassarawa</t>
  </si>
  <si>
    <t>Fagge</t>
  </si>
  <si>
    <t>Rivers</t>
  </si>
  <si>
    <t>Port Harcourt</t>
  </si>
  <si>
    <t>Obio/Akpor</t>
  </si>
  <si>
    <t>Abuja</t>
  </si>
  <si>
    <t>AMAC</t>
  </si>
  <si>
    <t>Bwari</t>
  </si>
  <si>
    <t>Ward X</t>
  </si>
  <si>
    <t>Ward Y</t>
  </si>
  <si>
    <t>Ward Z</t>
  </si>
  <si>
    <t>Ward AA</t>
  </si>
  <si>
    <t>Ward AB</t>
  </si>
  <si>
    <t>Ward AC</t>
  </si>
  <si>
    <t>PU201</t>
  </si>
  <si>
    <t>PU202</t>
  </si>
  <si>
    <t>PU203</t>
  </si>
  <si>
    <t>Ward AD</t>
  </si>
  <si>
    <t>PU204</t>
  </si>
  <si>
    <t>PU205</t>
  </si>
  <si>
    <t>PU206</t>
  </si>
  <si>
    <t>PU207</t>
  </si>
  <si>
    <t>PU208</t>
  </si>
  <si>
    <t>PU209</t>
  </si>
  <si>
    <t>PU210</t>
  </si>
  <si>
    <t>PU211</t>
  </si>
  <si>
    <t>Ward AE</t>
  </si>
  <si>
    <t>PU212</t>
  </si>
  <si>
    <t>PU213</t>
  </si>
  <si>
    <t>PU214</t>
  </si>
  <si>
    <t>PU215</t>
  </si>
  <si>
    <t>PU216</t>
  </si>
  <si>
    <t>PU217</t>
  </si>
  <si>
    <t>PU218</t>
  </si>
  <si>
    <t>PU219</t>
  </si>
  <si>
    <t>Ward AF</t>
  </si>
  <si>
    <t>PU220</t>
  </si>
  <si>
    <t>PU221</t>
  </si>
  <si>
    <t>PU222</t>
  </si>
  <si>
    <t>PU223</t>
  </si>
  <si>
    <t>PU224</t>
  </si>
  <si>
    <t>PU225</t>
  </si>
  <si>
    <t>PU226</t>
  </si>
  <si>
    <t>PU227</t>
  </si>
  <si>
    <t>Ward AG</t>
  </si>
  <si>
    <t>PU228</t>
  </si>
  <si>
    <t>PU229</t>
  </si>
  <si>
    <t>PU230</t>
  </si>
  <si>
    <t>PU231</t>
  </si>
  <si>
    <t>PU232</t>
  </si>
  <si>
    <t>PU233</t>
  </si>
  <si>
    <t>PU234</t>
  </si>
  <si>
    <t>PU235</t>
  </si>
  <si>
    <t>Ward AH</t>
  </si>
  <si>
    <t>PU236</t>
  </si>
  <si>
    <t>PU237</t>
  </si>
  <si>
    <t>PU238</t>
  </si>
  <si>
    <t>PU239</t>
  </si>
  <si>
    <t>PU240</t>
  </si>
  <si>
    <t>PU241</t>
  </si>
  <si>
    <t>PU242</t>
  </si>
  <si>
    <t>PU243</t>
  </si>
  <si>
    <t>Ward AI</t>
  </si>
  <si>
    <t>PU244</t>
  </si>
  <si>
    <t>PU245</t>
  </si>
  <si>
    <t>PU246</t>
  </si>
  <si>
    <t>PU247</t>
  </si>
  <si>
    <t>PU248</t>
  </si>
  <si>
    <t>PU249</t>
  </si>
  <si>
    <t>PU250</t>
  </si>
  <si>
    <t>PU251</t>
  </si>
  <si>
    <t>Ward AJ</t>
  </si>
  <si>
    <t>PU252</t>
  </si>
  <si>
    <t>PU253</t>
  </si>
  <si>
    <t>PU254</t>
  </si>
  <si>
    <t>PU255</t>
  </si>
  <si>
    <t>PU256</t>
  </si>
  <si>
    <t>PU257</t>
  </si>
  <si>
    <t>PU258</t>
  </si>
  <si>
    <t>PU259</t>
  </si>
  <si>
    <t>Ward AK</t>
  </si>
  <si>
    <t>PU260</t>
  </si>
  <si>
    <t>PU261</t>
  </si>
  <si>
    <t>PU262</t>
  </si>
  <si>
    <t>PU263</t>
  </si>
  <si>
    <t>PU264</t>
  </si>
  <si>
    <t>PU265</t>
  </si>
  <si>
    <t>PU266</t>
  </si>
  <si>
    <t>PU267</t>
  </si>
  <si>
    <t>Ward AL</t>
  </si>
  <si>
    <t>PU268</t>
  </si>
  <si>
    <t>PU269</t>
  </si>
  <si>
    <t>PU270</t>
  </si>
  <si>
    <t>PU271</t>
  </si>
  <si>
    <t>PU272</t>
  </si>
  <si>
    <t>PU273</t>
  </si>
  <si>
    <t>PU274</t>
  </si>
  <si>
    <t>PU275</t>
  </si>
  <si>
    <t>Ward AM</t>
  </si>
  <si>
    <t>PU276</t>
  </si>
  <si>
    <t>PU277</t>
  </si>
  <si>
    <t>PU278</t>
  </si>
  <si>
    <t>PU279</t>
  </si>
  <si>
    <t>PU280</t>
  </si>
  <si>
    <t>PU281</t>
  </si>
  <si>
    <t>PU282</t>
  </si>
  <si>
    <t>PU283</t>
  </si>
  <si>
    <t>Ward AN</t>
  </si>
  <si>
    <t>PU284</t>
  </si>
  <si>
    <t>PU285</t>
  </si>
  <si>
    <t>PU286</t>
  </si>
  <si>
    <t>PU287</t>
  </si>
  <si>
    <t>PU288</t>
  </si>
  <si>
    <t>PU289</t>
  </si>
  <si>
    <t>PU290</t>
  </si>
  <si>
    <t>PU291</t>
  </si>
  <si>
    <t>Ward AO</t>
  </si>
  <si>
    <t>PU292</t>
  </si>
  <si>
    <t>PU293</t>
  </si>
  <si>
    <t>PU294</t>
  </si>
  <si>
    <t>PU295</t>
  </si>
  <si>
    <t>PU296</t>
  </si>
  <si>
    <t>PU297</t>
  </si>
  <si>
    <t>PU298</t>
  </si>
  <si>
    <t>PU299</t>
  </si>
  <si>
    <t>Ward AP</t>
  </si>
  <si>
    <t>PU300</t>
  </si>
  <si>
    <t>PU301</t>
  </si>
  <si>
    <t>PU302</t>
  </si>
  <si>
    <t>PU303</t>
  </si>
  <si>
    <t>Ward AQ</t>
  </si>
  <si>
    <t>PU304</t>
  </si>
  <si>
    <t>PU305</t>
  </si>
  <si>
    <t>PU306</t>
  </si>
  <si>
    <t>PU307</t>
  </si>
  <si>
    <t>PU308</t>
  </si>
  <si>
    <t>PU309</t>
  </si>
  <si>
    <t>PU310</t>
  </si>
  <si>
    <t>PU311</t>
  </si>
  <si>
    <t>Ward AR</t>
  </si>
  <si>
    <t>PU312</t>
  </si>
  <si>
    <t>PU313</t>
  </si>
  <si>
    <t>PU314</t>
  </si>
  <si>
    <t>PU315</t>
  </si>
  <si>
    <t>PU316</t>
  </si>
  <si>
    <t>PU317</t>
  </si>
  <si>
    <t>PU318</t>
  </si>
  <si>
    <t>PU319</t>
  </si>
  <si>
    <t>Ward AS</t>
  </si>
  <si>
    <t>PU320</t>
  </si>
  <si>
    <t>PU321</t>
  </si>
  <si>
    <t>PU322</t>
  </si>
  <si>
    <t>PU323</t>
  </si>
  <si>
    <t>PU324</t>
  </si>
  <si>
    <t>PU325</t>
  </si>
  <si>
    <t>PU326</t>
  </si>
  <si>
    <t>PU327</t>
  </si>
  <si>
    <t>Ward AT</t>
  </si>
  <si>
    <t>PU328</t>
  </si>
  <si>
    <t>PU329</t>
  </si>
  <si>
    <t>PU330</t>
  </si>
  <si>
    <t>PU331</t>
  </si>
  <si>
    <t>PU332</t>
  </si>
  <si>
    <t>PU333</t>
  </si>
  <si>
    <t>PU334</t>
  </si>
  <si>
    <t>PU335</t>
  </si>
  <si>
    <t>Ward AU</t>
  </si>
  <si>
    <t>PU336</t>
  </si>
  <si>
    <t>PU337</t>
  </si>
  <si>
    <t>PU338</t>
  </si>
  <si>
    <t>PU339</t>
  </si>
  <si>
    <t>PU340</t>
  </si>
  <si>
    <t>PU341</t>
  </si>
  <si>
    <t>PU342</t>
  </si>
  <si>
    <t>PU343</t>
  </si>
  <si>
    <t>Ward AV</t>
  </si>
  <si>
    <t>PU344</t>
  </si>
  <si>
    <t>PU345</t>
  </si>
  <si>
    <t>PU346</t>
  </si>
  <si>
    <t>PU347</t>
  </si>
  <si>
    <t>PU348</t>
  </si>
  <si>
    <t>PU349</t>
  </si>
  <si>
    <t>PU350</t>
  </si>
  <si>
    <t>PU351</t>
  </si>
  <si>
    <t>Ward AW</t>
  </si>
  <si>
    <t>PU352</t>
  </si>
  <si>
    <t>PU353</t>
  </si>
  <si>
    <t>PU354</t>
  </si>
  <si>
    <t>PU355</t>
  </si>
  <si>
    <t>PU356</t>
  </si>
  <si>
    <t>PU357</t>
  </si>
  <si>
    <t>PU358</t>
  </si>
  <si>
    <t>PU359</t>
  </si>
  <si>
    <t>Ward AX</t>
  </si>
  <si>
    <t>PU360</t>
  </si>
  <si>
    <t>PU361</t>
  </si>
  <si>
    <t>PU362</t>
  </si>
  <si>
    <t>PU363</t>
  </si>
  <si>
    <t>PU364</t>
  </si>
  <si>
    <t>PU365</t>
  </si>
  <si>
    <t>PU366</t>
  </si>
  <si>
    <t>PU367</t>
  </si>
  <si>
    <t>Ward AY</t>
  </si>
  <si>
    <t>PU368</t>
  </si>
  <si>
    <t>PU369</t>
  </si>
  <si>
    <t>PU370</t>
  </si>
  <si>
    <t>PU371</t>
  </si>
  <si>
    <t>PU372</t>
  </si>
  <si>
    <t>PU373</t>
  </si>
  <si>
    <t>PU374</t>
  </si>
  <si>
    <t>PU375</t>
  </si>
  <si>
    <t>Ward AZ</t>
  </si>
  <si>
    <t>PU376</t>
  </si>
  <si>
    <t>PU377</t>
  </si>
  <si>
    <t>PU378</t>
  </si>
  <si>
    <t>PU379</t>
  </si>
  <si>
    <t>PU380</t>
  </si>
  <si>
    <t>PU381</t>
  </si>
  <si>
    <t>PU382</t>
  </si>
  <si>
    <t>PU383</t>
  </si>
  <si>
    <t>Ward BA</t>
  </si>
  <si>
    <t>PU384</t>
  </si>
  <si>
    <t>PU385</t>
  </si>
  <si>
    <t>PU386</t>
  </si>
  <si>
    <t>PU387</t>
  </si>
  <si>
    <t>PU388</t>
  </si>
  <si>
    <t>PU389</t>
  </si>
  <si>
    <t>PU390</t>
  </si>
  <si>
    <t>PU391</t>
  </si>
  <si>
    <t>Ward BB</t>
  </si>
  <si>
    <t>PU392</t>
  </si>
  <si>
    <t>PU393</t>
  </si>
  <si>
    <t>PU394</t>
  </si>
  <si>
    <t>PU395</t>
  </si>
  <si>
    <t>PU396</t>
  </si>
  <si>
    <t>PU397</t>
  </si>
  <si>
    <t>PU398</t>
  </si>
  <si>
    <t>PU399</t>
  </si>
  <si>
    <t>Ward BC</t>
  </si>
  <si>
    <t>PU400</t>
  </si>
  <si>
    <t>PU401</t>
  </si>
  <si>
    <t>PU402</t>
  </si>
  <si>
    <t>PU403</t>
  </si>
  <si>
    <t>Ward BD</t>
  </si>
  <si>
    <t>PU404</t>
  </si>
  <si>
    <t>PU405</t>
  </si>
  <si>
    <t>PU406</t>
  </si>
  <si>
    <t>PU407</t>
  </si>
  <si>
    <t>PU408</t>
  </si>
  <si>
    <t>PU409</t>
  </si>
  <si>
    <t>PU410</t>
  </si>
  <si>
    <t>PU411</t>
  </si>
  <si>
    <t>Ward BE</t>
  </si>
  <si>
    <t>PU412</t>
  </si>
  <si>
    <t>PU413</t>
  </si>
  <si>
    <t>PU414</t>
  </si>
  <si>
    <t>PU415</t>
  </si>
  <si>
    <t>PU416</t>
  </si>
  <si>
    <t>PU417</t>
  </si>
  <si>
    <t>PU418</t>
  </si>
  <si>
    <t>PU419</t>
  </si>
  <si>
    <t>Ward BF</t>
  </si>
  <si>
    <t>PU420</t>
  </si>
  <si>
    <t>PU421</t>
  </si>
  <si>
    <t>PU422</t>
  </si>
  <si>
    <t>PU423</t>
  </si>
  <si>
    <t>PU424</t>
  </si>
  <si>
    <t>PU425</t>
  </si>
  <si>
    <t>PU426</t>
  </si>
  <si>
    <t>PU427</t>
  </si>
  <si>
    <t>Ward BG</t>
  </si>
  <si>
    <t>PU428</t>
  </si>
  <si>
    <t>PU429</t>
  </si>
  <si>
    <t>PU430</t>
  </si>
  <si>
    <t>PU431</t>
  </si>
  <si>
    <t>PU432</t>
  </si>
  <si>
    <t>PU433</t>
  </si>
  <si>
    <t>PU434</t>
  </si>
  <si>
    <t>PU435</t>
  </si>
  <si>
    <t>Ward BH</t>
  </si>
  <si>
    <t>PU436</t>
  </si>
  <si>
    <t>PU437</t>
  </si>
  <si>
    <t>PU438</t>
  </si>
  <si>
    <t>PU439</t>
  </si>
  <si>
    <t>PU440</t>
  </si>
  <si>
    <t>PU441</t>
  </si>
  <si>
    <t>PU442</t>
  </si>
  <si>
    <t>PU443</t>
  </si>
  <si>
    <t>Ward BI</t>
  </si>
  <si>
    <t>PU444</t>
  </si>
  <si>
    <t>PU445</t>
  </si>
  <si>
    <t>PU446</t>
  </si>
  <si>
    <t>PU447</t>
  </si>
  <si>
    <t>PU448</t>
  </si>
  <si>
    <t>PU449</t>
  </si>
  <si>
    <t>PU450</t>
  </si>
  <si>
    <t>PU451</t>
  </si>
  <si>
    <t>Ward BJ</t>
  </si>
  <si>
    <t>PU452</t>
  </si>
  <si>
    <t>PU453</t>
  </si>
  <si>
    <t>PU454</t>
  </si>
  <si>
    <t>PU455</t>
  </si>
  <si>
    <t>PU456</t>
  </si>
  <si>
    <t>PU457</t>
  </si>
  <si>
    <t>PU458</t>
  </si>
  <si>
    <t>PU459</t>
  </si>
  <si>
    <t>Ward BK</t>
  </si>
  <si>
    <t>PU460</t>
  </si>
  <si>
    <t>PU461</t>
  </si>
  <si>
    <t>PU462</t>
  </si>
  <si>
    <t>PU463</t>
  </si>
  <si>
    <t>PU464</t>
  </si>
  <si>
    <t>PU465</t>
  </si>
  <si>
    <t>PU466</t>
  </si>
  <si>
    <t>PU467</t>
  </si>
  <si>
    <t>Ward BL</t>
  </si>
  <si>
    <t>PU468</t>
  </si>
  <si>
    <t>PU469</t>
  </si>
  <si>
    <t>PU470</t>
  </si>
  <si>
    <t>PU471</t>
  </si>
  <si>
    <t>PU472</t>
  </si>
  <si>
    <t>PU473</t>
  </si>
  <si>
    <t>PU474</t>
  </si>
  <si>
    <t>PU475</t>
  </si>
  <si>
    <t>Ward BM</t>
  </si>
  <si>
    <t>PU476</t>
  </si>
  <si>
    <t>PU477</t>
  </si>
  <si>
    <t>PU478</t>
  </si>
  <si>
    <t>PU479</t>
  </si>
  <si>
    <t>PU480</t>
  </si>
  <si>
    <t>PU481</t>
  </si>
  <si>
    <t>PU482</t>
  </si>
  <si>
    <t>PU483</t>
  </si>
  <si>
    <t>Ward BN</t>
  </si>
  <si>
    <t>PU484</t>
  </si>
  <si>
    <t>PU485</t>
  </si>
  <si>
    <t>PU486</t>
  </si>
  <si>
    <t>PU487</t>
  </si>
  <si>
    <t>PU488</t>
  </si>
  <si>
    <t>PU489</t>
  </si>
  <si>
    <t>PU490</t>
  </si>
  <si>
    <t>PU491</t>
  </si>
  <si>
    <t>Ward BO</t>
  </si>
  <si>
    <t>PU492</t>
  </si>
  <si>
    <t>PU493</t>
  </si>
  <si>
    <t>PU494</t>
  </si>
  <si>
    <t>PU495</t>
  </si>
  <si>
    <t>PU496</t>
  </si>
  <si>
    <t>PU497</t>
  </si>
  <si>
    <t>PU498</t>
  </si>
  <si>
    <t>PU499</t>
  </si>
  <si>
    <t>Ward BP</t>
  </si>
  <si>
    <t>PU500</t>
  </si>
  <si>
    <t>PU501</t>
  </si>
  <si>
    <t>PU502</t>
  </si>
  <si>
    <t>PU503</t>
  </si>
  <si>
    <t>Ward BQ</t>
  </si>
  <si>
    <t>PU504</t>
  </si>
  <si>
    <t>PU505</t>
  </si>
  <si>
    <t>PU506</t>
  </si>
  <si>
    <t>PU507</t>
  </si>
  <si>
    <t>PU508</t>
  </si>
  <si>
    <t>PU509</t>
  </si>
  <si>
    <t>PU510</t>
  </si>
  <si>
    <t>PU511</t>
  </si>
  <si>
    <t>Ward BR</t>
  </si>
  <si>
    <t>PU512</t>
  </si>
  <si>
    <t>PU513</t>
  </si>
  <si>
    <t>PU514</t>
  </si>
  <si>
    <t>PU515</t>
  </si>
  <si>
    <t>PU516</t>
  </si>
  <si>
    <t>PU517</t>
  </si>
  <si>
    <t>PU518</t>
  </si>
  <si>
    <t>PU519</t>
  </si>
  <si>
    <t>Ward BS</t>
  </si>
  <si>
    <t>PU520</t>
  </si>
  <si>
    <t>PU521</t>
  </si>
  <si>
    <t>PU522</t>
  </si>
  <si>
    <t>PU523</t>
  </si>
  <si>
    <t>PU524</t>
  </si>
  <si>
    <t>PU525</t>
  </si>
  <si>
    <t>PU526</t>
  </si>
  <si>
    <t>PU527</t>
  </si>
  <si>
    <t>Ward BT</t>
  </si>
  <si>
    <t>PU528</t>
  </si>
  <si>
    <t>PU529</t>
  </si>
  <si>
    <t>PU530</t>
  </si>
  <si>
    <t>PU531</t>
  </si>
  <si>
    <t>PU532</t>
  </si>
  <si>
    <t>PU533</t>
  </si>
  <si>
    <t>PU534</t>
  </si>
  <si>
    <t>PU535</t>
  </si>
  <si>
    <t>Ward BU</t>
  </si>
  <si>
    <t>PU536</t>
  </si>
  <si>
    <t>PU537</t>
  </si>
  <si>
    <t>PU538</t>
  </si>
  <si>
    <t>PU539</t>
  </si>
  <si>
    <t>PU540</t>
  </si>
  <si>
    <t>PU541</t>
  </si>
  <si>
    <t>PU542</t>
  </si>
  <si>
    <t>PU543</t>
  </si>
  <si>
    <t>Ward BV</t>
  </si>
  <si>
    <t>PU544</t>
  </si>
  <si>
    <t>PU545</t>
  </si>
  <si>
    <t>PU546</t>
  </si>
  <si>
    <t>PU547</t>
  </si>
  <si>
    <t>PU548</t>
  </si>
  <si>
    <t>PU549</t>
  </si>
  <si>
    <t>PU550</t>
  </si>
  <si>
    <t>PU551</t>
  </si>
  <si>
    <t>Ward BW</t>
  </si>
  <si>
    <t>PU552</t>
  </si>
  <si>
    <t>PU553</t>
  </si>
  <si>
    <t>PU554</t>
  </si>
  <si>
    <t>PU555</t>
  </si>
  <si>
    <t>PU556</t>
  </si>
  <si>
    <t>PU557</t>
  </si>
  <si>
    <t>PU558</t>
  </si>
  <si>
    <t>PU559</t>
  </si>
  <si>
    <t>Ward BX</t>
  </si>
  <si>
    <t>PU560</t>
  </si>
  <si>
    <t>PU561</t>
  </si>
  <si>
    <t>PU562</t>
  </si>
  <si>
    <t>PU563</t>
  </si>
  <si>
    <t>PU564</t>
  </si>
  <si>
    <t>PU565</t>
  </si>
  <si>
    <t>PU566</t>
  </si>
  <si>
    <t>PU567</t>
  </si>
  <si>
    <t>Ward BY</t>
  </si>
  <si>
    <t>PU568</t>
  </si>
  <si>
    <t>PU569</t>
  </si>
  <si>
    <t>PU570</t>
  </si>
  <si>
    <t>PU571</t>
  </si>
  <si>
    <t>PU572</t>
  </si>
  <si>
    <t>PU573</t>
  </si>
  <si>
    <t>PU574</t>
  </si>
  <si>
    <t>PU575</t>
  </si>
  <si>
    <t>Ward BZ</t>
  </si>
  <si>
    <t>PU576</t>
  </si>
  <si>
    <t>PU577</t>
  </si>
  <si>
    <t>PU578</t>
  </si>
  <si>
    <t>PU579</t>
  </si>
  <si>
    <t>PU580</t>
  </si>
  <si>
    <t>PU581</t>
  </si>
  <si>
    <t>PU582</t>
  </si>
  <si>
    <t>PU583</t>
  </si>
  <si>
    <t>Ward CA</t>
  </si>
  <si>
    <t>PU584</t>
  </si>
  <si>
    <t>PU585</t>
  </si>
  <si>
    <t>PU586</t>
  </si>
  <si>
    <t>PU587</t>
  </si>
  <si>
    <t>PU588</t>
  </si>
  <si>
    <t>PU589</t>
  </si>
  <si>
    <t>PU590</t>
  </si>
  <si>
    <t>PU591</t>
  </si>
  <si>
    <t>Ward CB</t>
  </si>
  <si>
    <t>PU592</t>
  </si>
  <si>
    <t>PU593</t>
  </si>
  <si>
    <t>PU594</t>
  </si>
  <si>
    <t>PU595</t>
  </si>
  <si>
    <t>PU596</t>
  </si>
  <si>
    <t>PU597</t>
  </si>
  <si>
    <t>PU598</t>
  </si>
  <si>
    <t>PU599</t>
  </si>
  <si>
    <t>Ward CC</t>
  </si>
  <si>
    <t>PU600</t>
  </si>
  <si>
    <t>PU601</t>
  </si>
  <si>
    <t>PU602</t>
  </si>
  <si>
    <t>PU603</t>
  </si>
  <si>
    <t>Ward CD</t>
  </si>
  <si>
    <t>PU604</t>
  </si>
  <si>
    <t>PU605</t>
  </si>
  <si>
    <t>PU606</t>
  </si>
  <si>
    <t>PU607</t>
  </si>
  <si>
    <t>PU608</t>
  </si>
  <si>
    <t>PU609</t>
  </si>
  <si>
    <t>PU610</t>
  </si>
  <si>
    <t>PU611</t>
  </si>
  <si>
    <t>Ward CE</t>
  </si>
  <si>
    <t>PU612</t>
  </si>
  <si>
    <t>PU613</t>
  </si>
  <si>
    <t>PU614</t>
  </si>
  <si>
    <t>PU615</t>
  </si>
  <si>
    <t>PU616</t>
  </si>
  <si>
    <t>PU617</t>
  </si>
  <si>
    <t>PU618</t>
  </si>
  <si>
    <t>PU619</t>
  </si>
  <si>
    <t>Ward CF</t>
  </si>
  <si>
    <t>PU620</t>
  </si>
  <si>
    <t>PU621</t>
  </si>
  <si>
    <t>PU622</t>
  </si>
  <si>
    <t>PU623</t>
  </si>
  <si>
    <t>PU624</t>
  </si>
  <si>
    <t>PU625</t>
  </si>
  <si>
    <t>PU626</t>
  </si>
  <si>
    <t>PU627</t>
  </si>
  <si>
    <t>Ward CG</t>
  </si>
  <si>
    <t>PU628</t>
  </si>
  <si>
    <t>PU629</t>
  </si>
  <si>
    <t>PU630</t>
  </si>
  <si>
    <t>PU631</t>
  </si>
  <si>
    <t>PU632</t>
  </si>
  <si>
    <t>PU633</t>
  </si>
  <si>
    <t>PU634</t>
  </si>
  <si>
    <t>PU635</t>
  </si>
  <si>
    <t>Ward CH</t>
  </si>
  <si>
    <t>PU636</t>
  </si>
  <si>
    <t>PU637</t>
  </si>
  <si>
    <t>PU638</t>
  </si>
  <si>
    <t>PU639</t>
  </si>
  <si>
    <t>PU640</t>
  </si>
  <si>
    <t>PU641</t>
  </si>
  <si>
    <t>PU642</t>
  </si>
  <si>
    <t>PU643</t>
  </si>
  <si>
    <t>Ward CI</t>
  </si>
  <si>
    <t>PU644</t>
  </si>
  <si>
    <t>PU645</t>
  </si>
  <si>
    <t>PU646</t>
  </si>
  <si>
    <t>PU647</t>
  </si>
  <si>
    <t>PU648</t>
  </si>
  <si>
    <t>PU649</t>
  </si>
  <si>
    <t>PU650</t>
  </si>
  <si>
    <t>PU651</t>
  </si>
  <si>
    <t>Ward CJ</t>
  </si>
  <si>
    <t>PU652</t>
  </si>
  <si>
    <t>PU653</t>
  </si>
  <si>
    <t>PU654</t>
  </si>
  <si>
    <t>PU655</t>
  </si>
  <si>
    <t>PU656</t>
  </si>
  <si>
    <t>PU657</t>
  </si>
  <si>
    <t>PU658</t>
  </si>
  <si>
    <t>PU659</t>
  </si>
  <si>
    <t>Ward CK</t>
  </si>
  <si>
    <t>PU660</t>
  </si>
  <si>
    <t>PU661</t>
  </si>
  <si>
    <t>PU662</t>
  </si>
  <si>
    <t>PU663</t>
  </si>
  <si>
    <t>PU664</t>
  </si>
  <si>
    <t>PU665</t>
  </si>
  <si>
    <t>PU666</t>
  </si>
  <si>
    <t>PU667</t>
  </si>
  <si>
    <t>Ward CL</t>
  </si>
  <si>
    <t>PU668</t>
  </si>
  <si>
    <t>PU669</t>
  </si>
  <si>
    <t>PU670</t>
  </si>
  <si>
    <t>PU671</t>
  </si>
  <si>
    <t>PU672</t>
  </si>
  <si>
    <t>PU673</t>
  </si>
  <si>
    <t>PU674</t>
  </si>
  <si>
    <t>PU675</t>
  </si>
  <si>
    <t>Ward CM</t>
  </si>
  <si>
    <t>PU676</t>
  </si>
  <si>
    <t>PU677</t>
  </si>
  <si>
    <t>PU678</t>
  </si>
  <si>
    <t>PU679</t>
  </si>
  <si>
    <t>PU680</t>
  </si>
  <si>
    <t>PU681</t>
  </si>
  <si>
    <t>PU682</t>
  </si>
  <si>
    <t>PU683</t>
  </si>
  <si>
    <t>Ward CN</t>
  </si>
  <si>
    <t>PU684</t>
  </si>
  <si>
    <t>PU685</t>
  </si>
  <si>
    <t>PU686</t>
  </si>
  <si>
    <t>PU687</t>
  </si>
  <si>
    <t>PU688</t>
  </si>
  <si>
    <t>PU689</t>
  </si>
  <si>
    <t>PU690</t>
  </si>
  <si>
    <t>PU691</t>
  </si>
  <si>
    <t>Ward CO</t>
  </si>
  <si>
    <t>PU692</t>
  </si>
  <si>
    <t>PU693</t>
  </si>
  <si>
    <t>PU694</t>
  </si>
  <si>
    <t>PU695</t>
  </si>
  <si>
    <t>PU696</t>
  </si>
  <si>
    <t>PU697</t>
  </si>
  <si>
    <t>PU698</t>
  </si>
  <si>
    <t>PU699</t>
  </si>
  <si>
    <t>Ward CP</t>
  </si>
  <si>
    <t>PU700</t>
  </si>
  <si>
    <t>PU701</t>
  </si>
  <si>
    <t>PU702</t>
  </si>
  <si>
    <t>PU703</t>
  </si>
  <si>
    <t>Ward CQ</t>
  </si>
  <si>
    <t>PU704</t>
  </si>
  <si>
    <t>PU705</t>
  </si>
  <si>
    <t>PU706</t>
  </si>
  <si>
    <t>PU707</t>
  </si>
  <si>
    <t>PU708</t>
  </si>
  <si>
    <t>PU709</t>
  </si>
  <si>
    <t>PU710</t>
  </si>
  <si>
    <t>PU711</t>
  </si>
  <si>
    <t>Ward CR</t>
  </si>
  <si>
    <t>PU712</t>
  </si>
  <si>
    <t>PU713</t>
  </si>
  <si>
    <t>PU714</t>
  </si>
  <si>
    <t>PU715</t>
  </si>
  <si>
    <t>PU716</t>
  </si>
  <si>
    <t>PU717</t>
  </si>
  <si>
    <t>PU718</t>
  </si>
  <si>
    <t>PU719</t>
  </si>
  <si>
    <t>Ward CS</t>
  </si>
  <si>
    <t>PU720</t>
  </si>
  <si>
    <t>PU721</t>
  </si>
  <si>
    <t>PU722</t>
  </si>
  <si>
    <t>PU723</t>
  </si>
  <si>
    <t>PU724</t>
  </si>
  <si>
    <t>PU725</t>
  </si>
  <si>
    <t>PU726</t>
  </si>
  <si>
    <t>PU727</t>
  </si>
  <si>
    <t>Ward CT</t>
  </si>
  <si>
    <t>PU728</t>
  </si>
  <si>
    <t>PU729</t>
  </si>
  <si>
    <t>PU730</t>
  </si>
  <si>
    <t>PU731</t>
  </si>
  <si>
    <t>PU732</t>
  </si>
  <si>
    <t>PU733</t>
  </si>
  <si>
    <t>PU734</t>
  </si>
  <si>
    <t>PU735</t>
  </si>
  <si>
    <t>Ward CU</t>
  </si>
  <si>
    <t>PU736</t>
  </si>
  <si>
    <t>PU737</t>
  </si>
  <si>
    <t>PU738</t>
  </si>
  <si>
    <t>PU739</t>
  </si>
  <si>
    <t>PU740</t>
  </si>
  <si>
    <t>PU741</t>
  </si>
  <si>
    <t>PU742</t>
  </si>
  <si>
    <t>PU743</t>
  </si>
  <si>
    <t>Ward CV</t>
  </si>
  <si>
    <t>PU744</t>
  </si>
  <si>
    <t>PU745</t>
  </si>
  <si>
    <t>PU746</t>
  </si>
  <si>
    <t>PU747</t>
  </si>
  <si>
    <t>PU748</t>
  </si>
  <si>
    <t>PU749</t>
  </si>
  <si>
    <t>PU750</t>
  </si>
  <si>
    <t>PU751</t>
  </si>
  <si>
    <t>Ward CW</t>
  </si>
  <si>
    <t>PU752</t>
  </si>
  <si>
    <t>PU753</t>
  </si>
  <si>
    <t>PU754</t>
  </si>
  <si>
    <t>PU755</t>
  </si>
  <si>
    <t>PU756</t>
  </si>
  <si>
    <t>PU757</t>
  </si>
  <si>
    <t>PU758</t>
  </si>
  <si>
    <t>PU759</t>
  </si>
  <si>
    <t>Ward CX</t>
  </si>
  <si>
    <t>PU760</t>
  </si>
  <si>
    <t>PU761</t>
  </si>
  <si>
    <t>PU762</t>
  </si>
  <si>
    <t>PU763</t>
  </si>
  <si>
    <t>PU764</t>
  </si>
  <si>
    <t>PU765</t>
  </si>
  <si>
    <t>PU766</t>
  </si>
  <si>
    <t>PU767</t>
  </si>
  <si>
    <t>Ward CY</t>
  </si>
  <si>
    <t>PU768</t>
  </si>
  <si>
    <t>PU769</t>
  </si>
  <si>
    <t>PU770</t>
  </si>
  <si>
    <t>PU771</t>
  </si>
  <si>
    <t>PU772</t>
  </si>
  <si>
    <t>PU773</t>
  </si>
  <si>
    <t>PU774</t>
  </si>
  <si>
    <t>PU775</t>
  </si>
  <si>
    <t>Ward CZ</t>
  </si>
  <si>
    <t>PU776</t>
  </si>
  <si>
    <t>PU777</t>
  </si>
  <si>
    <t>PU778</t>
  </si>
  <si>
    <t>PU779</t>
  </si>
  <si>
    <t>PU780</t>
  </si>
  <si>
    <t>PU781</t>
  </si>
  <si>
    <t>PU782</t>
  </si>
  <si>
    <t>PU783</t>
  </si>
  <si>
    <t>Ward DA</t>
  </si>
  <si>
    <t>PU784</t>
  </si>
  <si>
    <t>PU785</t>
  </si>
  <si>
    <t>PU786</t>
  </si>
  <si>
    <t>PU787</t>
  </si>
  <si>
    <t>PU788</t>
  </si>
  <si>
    <t>PU789</t>
  </si>
  <si>
    <t>PU790</t>
  </si>
  <si>
    <t>PU791</t>
  </si>
  <si>
    <t>Ward DB</t>
  </si>
  <si>
    <t>PU792</t>
  </si>
  <si>
    <t>PU793</t>
  </si>
  <si>
    <t>PU794</t>
  </si>
  <si>
    <t>PU795</t>
  </si>
  <si>
    <t>PU796</t>
  </si>
  <si>
    <t>PU797</t>
  </si>
  <si>
    <t>PU798</t>
  </si>
  <si>
    <t>PU799</t>
  </si>
  <si>
    <t>Ward DC</t>
  </si>
  <si>
    <t>PU800</t>
  </si>
  <si>
    <t>PU801</t>
  </si>
  <si>
    <t>PU802</t>
  </si>
  <si>
    <t>PU803</t>
  </si>
  <si>
    <t>Ward DD</t>
  </si>
  <si>
    <t>PU804</t>
  </si>
  <si>
    <t>PU805</t>
  </si>
  <si>
    <t>PU806</t>
  </si>
  <si>
    <t>PU807</t>
  </si>
  <si>
    <t>PU808</t>
  </si>
  <si>
    <t>PU809</t>
  </si>
  <si>
    <t>PU810</t>
  </si>
  <si>
    <t>PU811</t>
  </si>
  <si>
    <t>Ward DE</t>
  </si>
  <si>
    <t>PU812</t>
  </si>
  <si>
    <t>PU813</t>
  </si>
  <si>
    <t>PU814</t>
  </si>
  <si>
    <t>PU815</t>
  </si>
  <si>
    <t>PU816</t>
  </si>
  <si>
    <t>PU817</t>
  </si>
  <si>
    <t>PU818</t>
  </si>
  <si>
    <t>PU819</t>
  </si>
  <si>
    <t>Ward DF</t>
  </si>
  <si>
    <t>PU820</t>
  </si>
  <si>
    <t>PU821</t>
  </si>
  <si>
    <t>PU822</t>
  </si>
  <si>
    <t>PU823</t>
  </si>
  <si>
    <t>PU824</t>
  </si>
  <si>
    <t>PU825</t>
  </si>
  <si>
    <t>PU826</t>
  </si>
  <si>
    <t>PU827</t>
  </si>
  <si>
    <t>Ward DG</t>
  </si>
  <si>
    <t>PU828</t>
  </si>
  <si>
    <t>PU829</t>
  </si>
  <si>
    <t>PU830</t>
  </si>
  <si>
    <t>PU831</t>
  </si>
  <si>
    <t>PU832</t>
  </si>
  <si>
    <t>PU833</t>
  </si>
  <si>
    <t>PU834</t>
  </si>
  <si>
    <t>PU835</t>
  </si>
  <si>
    <t>Ward DH</t>
  </si>
  <si>
    <t>PU836</t>
  </si>
  <si>
    <t>PU837</t>
  </si>
  <si>
    <t>PU838</t>
  </si>
  <si>
    <t>PU839</t>
  </si>
  <si>
    <t>PU840</t>
  </si>
  <si>
    <t>PU841</t>
  </si>
  <si>
    <t>PU842</t>
  </si>
  <si>
    <t>PU843</t>
  </si>
  <si>
    <t>Ward DI</t>
  </si>
  <si>
    <t>PU844</t>
  </si>
  <si>
    <t>PU845</t>
  </si>
  <si>
    <t>PU846</t>
  </si>
  <si>
    <t>PU847</t>
  </si>
  <si>
    <t>PU848</t>
  </si>
  <si>
    <t>PU849</t>
  </si>
  <si>
    <t>PU850</t>
  </si>
  <si>
    <t>PU851</t>
  </si>
  <si>
    <t>Ward DJ</t>
  </si>
  <si>
    <t>PU852</t>
  </si>
  <si>
    <t>PU853</t>
  </si>
  <si>
    <t>PU854</t>
  </si>
  <si>
    <t>PU855</t>
  </si>
  <si>
    <t>PU856</t>
  </si>
  <si>
    <t>PU857</t>
  </si>
  <si>
    <t>PU858</t>
  </si>
  <si>
    <t>PU859</t>
  </si>
  <si>
    <t>Ward DK</t>
  </si>
  <si>
    <t>PU860</t>
  </si>
  <si>
    <t>PU861</t>
  </si>
  <si>
    <t>PU862</t>
  </si>
  <si>
    <t>PU863</t>
  </si>
  <si>
    <t>PU864</t>
  </si>
  <si>
    <t>PU865</t>
  </si>
  <si>
    <t>PU866</t>
  </si>
  <si>
    <t>PU867</t>
  </si>
  <si>
    <t>Ward DL</t>
  </si>
  <si>
    <t>PU868</t>
  </si>
  <si>
    <t>PU869</t>
  </si>
  <si>
    <t>PU870</t>
  </si>
  <si>
    <t>PU871</t>
  </si>
  <si>
    <t>PU872</t>
  </si>
  <si>
    <t>PU873</t>
  </si>
  <si>
    <t>PU874</t>
  </si>
  <si>
    <t>PU875</t>
  </si>
  <si>
    <t>Ward DM</t>
  </si>
  <si>
    <t>PU876</t>
  </si>
  <si>
    <t>PU877</t>
  </si>
  <si>
    <t>PU878</t>
  </si>
  <si>
    <t>PU879</t>
  </si>
  <si>
    <t>PU880</t>
  </si>
  <si>
    <t>PU881</t>
  </si>
  <si>
    <t>PU882</t>
  </si>
  <si>
    <t>PU883</t>
  </si>
  <si>
    <t>Ward DN</t>
  </si>
  <si>
    <t>PU884</t>
  </si>
  <si>
    <t>PU885</t>
  </si>
  <si>
    <t>PU886</t>
  </si>
  <si>
    <t>PU887</t>
  </si>
  <si>
    <t>PU888</t>
  </si>
  <si>
    <t>PU889</t>
  </si>
  <si>
    <t>PU890</t>
  </si>
  <si>
    <t>PU891</t>
  </si>
  <si>
    <t>Ward DO</t>
  </si>
  <si>
    <t>PU892</t>
  </si>
  <si>
    <t>PU893</t>
  </si>
  <si>
    <t>PU894</t>
  </si>
  <si>
    <t>PU895</t>
  </si>
  <si>
    <t>PU896</t>
  </si>
  <si>
    <t>PU897</t>
  </si>
  <si>
    <t>PU898</t>
  </si>
  <si>
    <t>PU899</t>
  </si>
  <si>
    <t>Ward DP</t>
  </si>
  <si>
    <t>PU900</t>
  </si>
  <si>
    <t>PU901</t>
  </si>
  <si>
    <t>PU902</t>
  </si>
  <si>
    <t>PU903</t>
  </si>
  <si>
    <t>PU904</t>
  </si>
  <si>
    <t>PU905</t>
  </si>
  <si>
    <t>PU906</t>
  </si>
  <si>
    <t>PU907</t>
  </si>
  <si>
    <t>Ward DQ</t>
  </si>
  <si>
    <t>PU908</t>
  </si>
  <si>
    <t>PU909</t>
  </si>
  <si>
    <t>PU910</t>
  </si>
  <si>
    <t>PU911</t>
  </si>
  <si>
    <t>PU912</t>
  </si>
  <si>
    <t>PU913</t>
  </si>
  <si>
    <t>PU914</t>
  </si>
  <si>
    <t>PU915</t>
  </si>
  <si>
    <t>Ward DR</t>
  </si>
  <si>
    <t>PU916</t>
  </si>
  <si>
    <t>PU917</t>
  </si>
  <si>
    <t>PU918</t>
  </si>
  <si>
    <t>PU919</t>
  </si>
  <si>
    <t>PU920</t>
  </si>
  <si>
    <t>PU921</t>
  </si>
  <si>
    <t>PU922</t>
  </si>
  <si>
    <t>PU923</t>
  </si>
  <si>
    <t>Ward DS</t>
  </si>
  <si>
    <t>PU924</t>
  </si>
  <si>
    <t>PU925</t>
  </si>
  <si>
    <t>PU926</t>
  </si>
  <si>
    <t>PU927</t>
  </si>
  <si>
    <t>PU928</t>
  </si>
  <si>
    <t>PU929</t>
  </si>
  <si>
    <t>PU930</t>
  </si>
  <si>
    <t>PU931</t>
  </si>
  <si>
    <t>Ward DT</t>
  </si>
  <si>
    <t>PU932</t>
  </si>
  <si>
    <t>PU933</t>
  </si>
  <si>
    <t>PU934</t>
  </si>
  <si>
    <t>PU935</t>
  </si>
  <si>
    <t>PU936</t>
  </si>
  <si>
    <t>PU937</t>
  </si>
  <si>
    <t>PU938</t>
  </si>
  <si>
    <t>PU939</t>
  </si>
  <si>
    <t>Ward DU</t>
  </si>
  <si>
    <t>PU940</t>
  </si>
  <si>
    <t>PU941</t>
  </si>
  <si>
    <t>PU942</t>
  </si>
  <si>
    <t>PU943</t>
  </si>
  <si>
    <t>PU944</t>
  </si>
  <si>
    <t>PU945</t>
  </si>
  <si>
    <t>PU946</t>
  </si>
  <si>
    <t>PU947</t>
  </si>
  <si>
    <t>Ward DV</t>
  </si>
  <si>
    <t>PU948</t>
  </si>
  <si>
    <t>PU949</t>
  </si>
  <si>
    <t>PU950</t>
  </si>
  <si>
    <t>PU951</t>
  </si>
  <si>
    <t>PU952</t>
  </si>
  <si>
    <t>PU953</t>
  </si>
  <si>
    <t>PU954</t>
  </si>
  <si>
    <t>PU955</t>
  </si>
  <si>
    <t>Ward DW</t>
  </si>
  <si>
    <t>PU956</t>
  </si>
  <si>
    <t>PU957</t>
  </si>
  <si>
    <t>PU958</t>
  </si>
  <si>
    <t>PU959</t>
  </si>
  <si>
    <t>PU960</t>
  </si>
  <si>
    <t>PU961</t>
  </si>
  <si>
    <t>PU962</t>
  </si>
  <si>
    <t>PU963</t>
  </si>
  <si>
    <t>Ward DX</t>
  </si>
  <si>
    <t>PU964</t>
  </si>
  <si>
    <t>PU965</t>
  </si>
  <si>
    <t>PU966</t>
  </si>
  <si>
    <t>PU967</t>
  </si>
  <si>
    <t>PU968</t>
  </si>
  <si>
    <t>PU969</t>
  </si>
  <si>
    <t>PU970</t>
  </si>
  <si>
    <t>PU971</t>
  </si>
  <si>
    <t>Ward DY</t>
  </si>
  <si>
    <t>PU972</t>
  </si>
  <si>
    <t>PU973</t>
  </si>
  <si>
    <t>PU974</t>
  </si>
  <si>
    <t>PU975</t>
  </si>
  <si>
    <t>PU976</t>
  </si>
  <si>
    <t>PU977</t>
  </si>
  <si>
    <t>PU978</t>
  </si>
  <si>
    <t>PU979</t>
  </si>
  <si>
    <t>Ward DZ</t>
  </si>
  <si>
    <t>PU980</t>
  </si>
  <si>
    <t>PU981</t>
  </si>
  <si>
    <t>PU982</t>
  </si>
  <si>
    <t>PU983</t>
  </si>
  <si>
    <t>PU984</t>
  </si>
  <si>
    <t>PU985</t>
  </si>
  <si>
    <t>PU986</t>
  </si>
  <si>
    <t>PU987</t>
  </si>
  <si>
    <t>Ward EA</t>
  </si>
  <si>
    <t>PU988</t>
  </si>
  <si>
    <t>PU989</t>
  </si>
  <si>
    <t>PU990</t>
  </si>
  <si>
    <t>PU991</t>
  </si>
  <si>
    <t>PU992</t>
  </si>
  <si>
    <t>PU993</t>
  </si>
  <si>
    <t>PU994</t>
  </si>
  <si>
    <t>PU995</t>
  </si>
  <si>
    <t>Ward EB</t>
  </si>
  <si>
    <t>PU996</t>
  </si>
  <si>
    <t>PU997</t>
  </si>
  <si>
    <t>PU998</t>
  </si>
  <si>
    <t>PU999</t>
  </si>
  <si>
    <t>PU1000</t>
  </si>
  <si>
    <t>SN</t>
  </si>
  <si>
    <t>Party A shares %</t>
  </si>
  <si>
    <t>Party B Shares %</t>
  </si>
  <si>
    <t>Party C Shares %</t>
  </si>
  <si>
    <t>AB Vote Disparity</t>
  </si>
  <si>
    <t>Row Labels</t>
  </si>
  <si>
    <t>Grand Total</t>
  </si>
  <si>
    <t>Sum of TotalVotesCast</t>
  </si>
  <si>
    <t>Sum of PartyBVotes</t>
  </si>
  <si>
    <t>Sum of PartyAVotes</t>
  </si>
  <si>
    <t>Sum of PartyCVotes</t>
  </si>
  <si>
    <t>Sum of Party A shares %</t>
  </si>
  <si>
    <t>Values</t>
  </si>
  <si>
    <t>Party A Votes</t>
  </si>
  <si>
    <t>Party B Votes</t>
  </si>
  <si>
    <t>Party C Votes</t>
  </si>
  <si>
    <t>Distinct Count of State</t>
  </si>
  <si>
    <t>Distinct Count of LGA</t>
  </si>
  <si>
    <t>Sum of RegisteredVoters</t>
  </si>
  <si>
    <t>Count of Ward</t>
  </si>
  <si>
    <t>Sum of Party B Shares %</t>
  </si>
  <si>
    <t>Sum of Party C Shares %</t>
  </si>
  <si>
    <t>Voters Turn up Rate</t>
  </si>
  <si>
    <t>Total Votes Cast</t>
  </si>
  <si>
    <t>Registered Voters</t>
  </si>
  <si>
    <t>Average Voters Turn up Rate</t>
  </si>
  <si>
    <t>Party A Vote</t>
  </si>
  <si>
    <t>Sum of AB Vote Disparity</t>
  </si>
  <si>
    <t>Target Column</t>
  </si>
  <si>
    <t>Identified Anomaly</t>
  </si>
  <si>
    <t>Impacted Rows</t>
  </si>
  <si>
    <t>Technical Remediation Step</t>
  </si>
  <si>
    <t>Column G</t>
  </si>
  <si>
    <t>Missing Values</t>
  </si>
  <si>
    <t>1 Row</t>
  </si>
  <si>
    <t>Structurally imputed the missing variable using the algebraic baseline:</t>
  </si>
  <si>
    <t>2</t>
  </si>
  <si>
    <t>Column H</t>
  </si>
  <si>
    <t>Structúrese imputed the missing variable using the algebraic baseline:</t>
  </si>
  <si>
    <t>3</t>
  </si>
  <si>
    <t>Column I</t>
  </si>
  <si>
    <t>Broken Summary Aggregations</t>
  </si>
  <si>
    <t>209 Rows</t>
  </si>
  <si>
    <t>Re-engineered the faulty column calculation across all affected entries using the absolute summation matrix:</t>
  </si>
  <si>
    <t>Multiple</t>
  </si>
  <si>
    <t>Logical Violation:</t>
  </si>
  <si>
    <t>Total Votes &gt; Registered Voters</t>
  </si>
  <si>
    <t>2 Rows</t>
  </si>
  <si>
    <t>Conducted targeted row suppression (deletion) due to mathematically impossible data constraints and low statistical impact.</t>
  </si>
  <si>
    <t>Column D</t>
  </si>
  <si>
    <t>Lexical Error:</t>
  </si>
  <si>
    <t>"word" instead of "ward"</t>
  </si>
  <si>
    <t>Statistical Anomaly:</t>
  </si>
  <si>
    <t>100% Turnout &amp; Perfect Vote-to-Voter Count Match</t>
  </si>
  <si>
    <t>162 Rows</t>
  </si>
  <si>
    <t>Executed data suppression and removal of these records to preserve model integrity, noting they constituted roughly 16% of the data footprint.</t>
  </si>
  <si>
    <t>"= I - (F + G)"</t>
  </si>
  <si>
    <t>"= SUM(F2:H2)"</t>
  </si>
  <si>
    <t>"= I - (F + H)"</t>
  </si>
  <si>
    <r>
      <t>Cleansed the structural text field to enforce correct domain naming conventions (</t>
    </r>
    <r>
      <rPr>
        <sz val="9"/>
        <color theme="7"/>
        <rFont val="Google Sans Text"/>
        <family val="2"/>
      </rPr>
      <t>"Ward"</t>
    </r>
    <r>
      <rPr>
        <sz val="10"/>
        <color theme="7"/>
        <rFont val="Arial"/>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</si>
</sst>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0.0%"/>
    <numFmt numFmtId="165" formatCode="[&gt;=1000000]#,##0.0,,&quot;M&quot;;[&gt;=1000]#,##0.0,&quot;K&quot;;#,##0"/>
  </numFmts>
  <fonts count="12">
    <font>
      <sz val="10"/>
      <color rgb="FF000000"/>
      <name val="Arial"/>
      <scheme val="minor"/>
    </font>
    <font>
      <sz val="10"/>
      <color theme="1"/>
      <name val="Arial"/>
      <scheme val="minor"/>
    </font>
    <font>
      <b/>
      <sz val="10"/>
      <color rgb="FF000000"/>
      <name val="Arial"/>
      <family val="2"/>
      <scheme val="minor"/>
    </font>
    <font>
      <sz val="10"/>
      <color rgb="FF000000"/>
      <name val="Arial"/>
      <family val="2"/>
      <scheme val="minor"/>
    </font>
    <font>
      <b/>
      <sz val="10"/>
      <color theme="0"/>
      <name val="Arial"/>
      <family val="2"/>
      <scheme val="minor"/>
    </font>
    <font>
      <b/>
      <sz val="16"/>
      <color rgb="FF000000"/>
      <name val="Arial"/>
      <family val="2"/>
      <scheme val="minor"/>
    </font>
    <font>
      <sz val="10"/>
      <color rgb="FF000000"/>
      <name val="Arial"/>
      <scheme val="minor"/>
    </font>
    <font>
      <sz val="10"/>
      <color theme="0"/>
      <name val="Arial"/>
      <scheme val="minor"/>
    </font>
    <font>
      <b/>
      <sz val="10"/>
      <color theme="7"/>
      <name val="Arial"/>
      <family val="2"/>
      <scheme val="minor"/>
    </font>
    <font>
      <sz val="10"/>
      <color theme="7"/>
      <name val="Arial"/>
      <family val="2"/>
      <scheme val="minor"/>
    </font>
    <font>
      <sz val="9"/>
      <color theme="7"/>
      <name val="Google Sans Text"/>
      <family val="2"/>
    </font>
    <font>
      <i/>
      <sz val="10"/>
      <color theme="7"/>
      <name val="Arial"/>
      <family val="2"/>
      <scheme val="minor"/>
    </font>
  </fonts>
  <fills count="3">
    <fill>
      <patternFill patternType="none"/>
    </fill>
    <fill>
      <patternFill patternType="gray125"/>
    </fill>
    <fill>
      <patternFill patternType="solid">
        <fgColor theme="7" tint="0.39997558519241921"/>
        <bgColor indexed="64"/>
      </patternFill>
    </fill>
  </fills>
  <borders count="7">
    <border>
      <left/>
      <right/>
      <top/>
      <bottom/>
      <diagonal/>
    </border>
    <border>
      <left style="thin">
        <color theme="7" tint="-0.249977111117893"/>
      </left>
      <right style="thin">
        <color theme="7" tint="-0.249977111117893"/>
      </right>
      <top style="thin">
        <color theme="7" tint="-0.249977111117893"/>
      </top>
      <bottom style="thin">
        <color theme="7" tint="-0.249977111117893"/>
      </bottom>
      <diagonal/>
    </border>
    <border>
      <left style="thin">
        <color theme="7" tint="-0.249977111117893"/>
      </left>
      <right/>
      <top style="thin">
        <color theme="7" tint="-0.249977111117893"/>
      </top>
      <bottom style="thin">
        <color theme="7" tint="-0.249977111117893"/>
      </bottom>
      <diagonal/>
    </border>
    <border>
      <left style="thin">
        <color theme="7" tint="-0.249977111117893"/>
      </left>
      <right style="thin">
        <color theme="7" tint="-0.249977111117893"/>
      </right>
      <top style="thin">
        <color theme="7" tint="-0.249977111117893"/>
      </top>
      <bottom/>
      <diagonal/>
    </border>
    <border>
      <left style="thin">
        <color theme="7" tint="-0.249977111117893"/>
      </left>
      <right style="thin">
        <color theme="7" tint="-0.249977111117893"/>
      </right>
      <top/>
      <bottom style="thin">
        <color theme="7" tint="-0.249977111117893"/>
      </bottom>
      <diagonal/>
    </border>
    <border>
      <left style="thin">
        <color theme="7" tint="-0.249977111117893"/>
      </left>
      <right style="thin">
        <color theme="7" tint="-0.249977111117893"/>
      </right>
      <top/>
      <bottom/>
      <diagonal/>
    </border>
    <border>
      <left/>
      <right style="thin">
        <color theme="7" tint="-0.249977111117893"/>
      </right>
      <top style="thin">
        <color theme="7" tint="-0.249977111117893"/>
      </top>
      <bottom style="thin">
        <color theme="7" tint="-0.249977111117893"/>
      </bottom>
      <diagonal/>
    </border>
  </borders>
  <cellStyleXfs count="3">
    <xf numFmtId="0" fontId="0" fillId="0" borderId="0"/>
    <xf numFmtId="43" fontId="6" fillId="0" borderId="0" applyFont="0" applyFill="0" applyBorder="0" applyAlignment="0" applyProtection="0"/>
    <xf numFmtId="9" fontId="6" fillId="0" borderId="0" applyFont="0" applyFill="0" applyBorder="0" applyAlignment="0" applyProtection="0"/>
  </cellStyleXfs>
  <cellXfs count="39">
    <xf numFmtId="0" fontId="0" fillId="0" borderId="0" xfId="0"/>
    <xf numFmtId="0" fontId="1" fillId="0" borderId="0" xfId="0" applyFont="1"/>
    <xf numFmtId="0" fontId="2" fillId="0" borderId="0" xfId="0" applyFont="1"/>
    <xf numFmtId="0" fontId="3" fillId="0" borderId="0" xfId="0" applyFont="1"/>
    <xf numFmtId="0" fontId="2" fillId="0" borderId="0" xfId="0" applyFont="1" applyAlignment="1">
      <alignment horizontal="center" vertical="center"/>
    </xf>
    <xf numFmtId="0" fontId="0" fillId="0" borderId="0" xfId="0" applyAlignment="1">
      <alignment wrapText="1"/>
    </xf>
    <xf numFmtId="0" fontId="4" fillId="0" borderId="0" xfId="0" applyFont="1"/>
    <xf numFmtId="9" fontId="2" fillId="0" borderId="0" xfId="2" applyFont="1"/>
    <xf numFmtId="9" fontId="0" fillId="0" borderId="0" xfId="2" applyFont="1"/>
    <xf numFmtId="0" fontId="0" fillId="0" borderId="0" xfId="0" pivotButton="1"/>
    <xf numFmtId="0" fontId="0" fillId="0" borderId="0" xfId="0" applyAlignment="1">
      <alignment horizontal="left"/>
    </xf>
    <xf numFmtId="164" fontId="0" fillId="0" borderId="0" xfId="2" applyNumberFormat="1" applyFont="1"/>
    <xf numFmtId="10" fontId="0" fillId="0" borderId="0" xfId="2" applyNumberFormat="1" applyFont="1"/>
    <xf numFmtId="2" fontId="0" fillId="0" borderId="0" xfId="0" applyNumberFormat="1"/>
    <xf numFmtId="165" fontId="0" fillId="0" borderId="0" xfId="1" applyNumberFormat="1" applyFont="1"/>
    <xf numFmtId="165" fontId="0" fillId="0" borderId="0" xfId="0" applyNumberFormat="1"/>
    <xf numFmtId="164" fontId="0" fillId="0" borderId="0" xfId="0" applyNumberFormat="1"/>
    <xf numFmtId="0" fontId="7" fillId="2" borderId="0" xfId="0" applyFont="1" applyFill="1" applyAlignment="1">
      <alignment horizontal="left"/>
    </xf>
    <xf numFmtId="164" fontId="7" fillId="2" borderId="0" xfId="0" applyNumberFormat="1" applyFont="1" applyFill="1"/>
    <xf numFmtId="0" fontId="7" fillId="2" borderId="0" xfId="0" applyFont="1" applyFill="1"/>
    <xf numFmtId="0" fontId="5" fillId="0" borderId="0" xfId="0" applyFont="1"/>
    <xf numFmtId="0" fontId="3" fillId="0" borderId="0" xfId="0" applyFont="1" applyAlignment="1">
      <alignment horizontal="left" vertical="center" wrapText="1"/>
    </xf>
    <xf numFmtId="0" fontId="8" fillId="0" borderId="1" xfId="0" applyFont="1" applyBorder="1" applyAlignment="1">
      <alignment vertical="center" wrapText="1" readingOrder="1"/>
    </xf>
    <xf numFmtId="0" fontId="8" fillId="0" borderId="3" xfId="0" applyFont="1" applyBorder="1" applyAlignment="1">
      <alignment vertical="center" wrapText="1" readingOrder="1"/>
    </xf>
    <xf numFmtId="0" fontId="9" fillId="0" borderId="3" xfId="0" applyFont="1" applyBorder="1" applyAlignment="1">
      <alignment vertical="center" wrapText="1" readingOrder="1"/>
    </xf>
    <xf numFmtId="0" fontId="9" fillId="0" borderId="5" xfId="0" applyFont="1" applyBorder="1" applyAlignment="1">
      <alignment vertical="center" wrapText="1" readingOrder="1"/>
    </xf>
    <xf numFmtId="0" fontId="10" fillId="0" borderId="5" xfId="0" applyFont="1" applyBorder="1" applyAlignment="1">
      <alignment vertical="center" wrapText="1" readingOrder="1"/>
    </xf>
    <xf numFmtId="0" fontId="10" fillId="0" borderId="4" xfId="0" applyFont="1" applyBorder="1" applyAlignment="1">
      <alignment vertical="center" wrapText="1" readingOrder="1"/>
    </xf>
    <xf numFmtId="0" fontId="11" fillId="0" borderId="5" xfId="0" applyFont="1" applyBorder="1" applyAlignment="1">
      <alignment vertical="center" wrapText="1" readingOrder="1"/>
    </xf>
    <xf numFmtId="0" fontId="11" fillId="0" borderId="4" xfId="0" applyFont="1" applyBorder="1" applyAlignment="1">
      <alignment vertical="center" wrapText="1" readingOrder="1"/>
    </xf>
    <xf numFmtId="0" fontId="9" fillId="0" borderId="1" xfId="0" applyFont="1" applyBorder="1" applyAlignment="1">
      <alignment vertical="center" wrapText="1" readingOrder="1"/>
    </xf>
    <xf numFmtId="0" fontId="8" fillId="0" borderId="1" xfId="0" applyFont="1" applyBorder="1" applyAlignment="1">
      <alignment vertical="center" wrapText="1" readingOrder="1"/>
    </xf>
    <xf numFmtId="0" fontId="8" fillId="0" borderId="2" xfId="0" applyFont="1" applyBorder="1" applyAlignment="1">
      <alignment vertical="center" wrapText="1" readingOrder="1"/>
    </xf>
    <xf numFmtId="0" fontId="9" fillId="0" borderId="6" xfId="0" applyFont="1" applyBorder="1" applyAlignment="1">
      <alignment vertical="center" wrapText="1" readingOrder="1"/>
    </xf>
    <xf numFmtId="0" fontId="9" fillId="0" borderId="4" xfId="0" applyFont="1" applyBorder="1" applyAlignment="1">
      <alignment vertical="center" wrapText="1" readingOrder="1"/>
    </xf>
    <xf numFmtId="0" fontId="8" fillId="0" borderId="1" xfId="0" applyFont="1" applyBorder="1" applyAlignment="1">
      <alignment horizontal="right" vertical="center" wrapText="1" readingOrder="1"/>
    </xf>
    <xf numFmtId="0" fontId="9" fillId="0" borderId="3" xfId="0" applyFont="1" applyBorder="1" applyAlignment="1">
      <alignment vertical="center" wrapText="1" readingOrder="1"/>
    </xf>
    <xf numFmtId="0" fontId="9" fillId="0" borderId="2" xfId="0" applyFont="1" applyBorder="1" applyAlignment="1">
      <alignment vertical="center" wrapText="1" readingOrder="1"/>
    </xf>
    <xf numFmtId="0" fontId="0" fillId="0" borderId="0" xfId="0" applyNumberFormat="1"/>
  </cellXfs>
  <cellStyles count="3">
    <cellStyle name="Comma" xfId="1" builtinId="3"/>
    <cellStyle name="Normal" xfId="0" builtinId="0"/>
    <cellStyle name="Percent" xfId="2" builtinId="5"/>
  </cellStyles>
  <dxfs count="14">
    <dxf>
      <numFmt numFmtId="164" formatCode="0.0%"/>
    </dxf>
    <dxf>
      <numFmt numFmtId="164" formatCode="0.0%"/>
    </dxf>
    <dxf>
      <font>
        <color theme="0"/>
      </font>
    </dxf>
    <dxf>
      <fill>
        <patternFill patternType="solid">
          <bgColor theme="7" tint="0.39997558519241921"/>
        </patternFill>
      </fill>
    </dxf>
    <dxf>
      <numFmt numFmtId="2" formatCode="0.00"/>
    </dxf>
    <dxf>
      <numFmt numFmtId="164" formatCode="0.0%"/>
    </dxf>
    <dxf>
      <numFmt numFmtId="164" formatCode="0.0%"/>
    </dxf>
    <dxf>
      <numFmt numFmtId="0" formatCode="General"/>
    </dxf>
    <dxf>
      <font>
        <b val="0"/>
        <i val="0"/>
        <strike val="0"/>
        <condense val="0"/>
        <extend val="0"/>
        <outline val="0"/>
        <shadow val="0"/>
        <u val="none"/>
        <vertAlign val="baseline"/>
        <sz val="10"/>
        <color theme="1"/>
        <name val="Arial"/>
        <scheme val="minor"/>
      </font>
    </dxf>
    <dxf>
      <font>
        <b/>
        <i val="0"/>
        <strike val="0"/>
        <condense val="0"/>
        <extend val="0"/>
        <outline val="0"/>
        <shadow val="0"/>
        <u val="none"/>
        <vertAlign val="baseline"/>
        <sz val="10"/>
        <color rgb="FF000000"/>
        <name val="Arial"/>
        <family val="2"/>
        <scheme val="minor"/>
      </font>
    </dxf>
    <dxf>
      <font>
        <color rgb="FFFFFF00"/>
      </font>
      <fill>
        <patternFill>
          <bgColor rgb="FFFFFF00"/>
        </patternFill>
      </fill>
    </dxf>
    <dxf>
      <font>
        <sz val="14"/>
        <color theme="0" tint="-0.34998626667073579"/>
      </font>
    </dxf>
    <dxf>
      <font>
        <b/>
        <i val="0"/>
        <sz val="10"/>
        <color rgb="FF00B050"/>
      </font>
      <fill>
        <patternFill patternType="none">
          <bgColor auto="1"/>
        </patternFill>
      </fill>
      <border diagonalUp="0" diagonalDown="0">
        <left/>
        <right/>
        <top/>
        <bottom/>
        <vertical/>
        <horizontal/>
      </border>
    </dxf>
    <dxf>
      <font>
        <b/>
        <i val="0"/>
        <strike val="0"/>
        <sz val="10"/>
        <color rgb="FF00B050"/>
      </font>
      <fill>
        <patternFill patternType="none">
          <bgColor auto="1"/>
        </patternFill>
      </fill>
      <border diagonalUp="0" diagonalDown="0">
        <left/>
        <right/>
        <top/>
        <bottom/>
        <vertical/>
        <horizontal/>
      </border>
    </dxf>
  </dxfs>
  <tableStyles count="3" defaultTableStyle="TableStyleMedium2" defaultPivotStyle="PivotStyleLight16">
    <tableStyle name="Slicer Style 1" pivot="0" table="0" count="1" xr9:uid="{5B79EC33-B25A-43F3-982A-2DB3985972F4}">
      <tableStyleElement type="wholeTable" dxfId="13"/>
    </tableStyle>
    <tableStyle name="Slicer Style 2" pivot="0" table="0" count="1" xr9:uid="{E376DE48-570E-451F-B7E9-D90C3796C5A2}">
      <tableStyleElement type="wholeTable" dxfId="12"/>
    </tableStyle>
    <tableStyle name="Slicer Style 3" pivot="0" table="0" count="1" xr9:uid="{ED4CA2A1-7848-4AC7-A96B-CD0A48D43EB6}">
      <tableStyleElement type="headerRow" dxfId="11"/>
    </tableStyle>
  </tableStyle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pivotCacheDefinition" Target="pivotCache/pivotCacheDefinition18.xml"/><Relationship Id="rId39" Type="http://schemas.microsoft.com/office/2006/relationships/vbaProject" Target="vbaProject.bin"/><Relationship Id="rId21" Type="http://schemas.openxmlformats.org/officeDocument/2006/relationships/pivotCacheDefinition" Target="pivotCache/pivotCacheDefinition13.xml"/><Relationship Id="rId34"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sheetMetadata" Target="metadata.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pivotCacheDefinition" Target="pivotCache/pivotCacheDefinition1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pivotCacheDefinition" Target="pivotCache/pivotCacheDefinition16.xml"/><Relationship Id="rId32" Type="http://schemas.openxmlformats.org/officeDocument/2006/relationships/sharedStrings" Target="sharedStrings.xml"/><Relationship Id="rId37"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microsoft.com/office/2007/relationships/slicerCache" Target="slicerCaches/slicerCache2.xml"/><Relationship Id="rId36" Type="http://schemas.microsoft.com/office/2017/06/relationships/rdRichValueTypes" Target="richData/rdRichValueTypes.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microsoft.com/office/2007/relationships/slicerCache" Target="slicerCaches/slicerCache1.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Dataset.xlsm]Sheet7!PivotTable2</c:name>
    <c:fmtId val="2"/>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NG" sz="1400" b="1" i="0" u="none" strike="noStrike" baseline="0"/>
              <a:t>State Votes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Total</c:v>
                </c:pt>
              </c:strCache>
            </c:strRef>
          </c:tx>
          <c:spPr>
            <a:solidFill>
              <a:srgbClr val="00B050"/>
            </a:solidFill>
            <a:ln>
              <a:noFill/>
            </a:ln>
            <a:effectLst/>
          </c:spPr>
          <c:invertIfNegative val="0"/>
          <c:cat>
            <c:strRef>
              <c:f>Sheet7!$A$4:$A$8</c:f>
              <c:strCache>
                <c:ptCount val="4"/>
                <c:pt idx="0">
                  <c:v>Abuja</c:v>
                </c:pt>
                <c:pt idx="1">
                  <c:v>Kano</c:v>
                </c:pt>
                <c:pt idx="2">
                  <c:v>Lagos</c:v>
                </c:pt>
                <c:pt idx="3">
                  <c:v>Rivers</c:v>
                </c:pt>
              </c:strCache>
            </c:strRef>
          </c:cat>
          <c:val>
            <c:numRef>
              <c:f>Sheet7!$B$4:$B$8</c:f>
              <c:numCache>
                <c:formatCode>General</c:formatCode>
                <c:ptCount val="4"/>
                <c:pt idx="0">
                  <c:v>236960</c:v>
                </c:pt>
                <c:pt idx="1">
                  <c:v>169940</c:v>
                </c:pt>
                <c:pt idx="2">
                  <c:v>133644</c:v>
                </c:pt>
                <c:pt idx="3">
                  <c:v>205260</c:v>
                </c:pt>
              </c:numCache>
            </c:numRef>
          </c:val>
          <c:extLst>
            <c:ext xmlns:c16="http://schemas.microsoft.com/office/drawing/2014/chart" uri="{C3380CC4-5D6E-409C-BE32-E72D297353CC}">
              <c16:uniqueId val="{00000000-A54E-4ABC-B66A-7496A154E146}"/>
            </c:ext>
          </c:extLst>
        </c:ser>
        <c:dLbls>
          <c:showLegendKey val="0"/>
          <c:showVal val="0"/>
          <c:showCatName val="0"/>
          <c:showSerName val="0"/>
          <c:showPercent val="0"/>
          <c:showBubbleSize val="0"/>
        </c:dLbls>
        <c:gapWidth val="100"/>
        <c:overlap val="-27"/>
        <c:axId val="401787519"/>
        <c:axId val="401787999"/>
      </c:barChart>
      <c:catAx>
        <c:axId val="40178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401787999"/>
        <c:crosses val="autoZero"/>
        <c:auto val="1"/>
        <c:lblAlgn val="ctr"/>
        <c:lblOffset val="100"/>
        <c:noMultiLvlLbl val="0"/>
      </c:catAx>
      <c:valAx>
        <c:axId val="401787999"/>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401787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Dataset.xlsm]Sheet7!PivotTable3</c:name>
    <c:fmtId val="15"/>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NG" sz="1400" b="1" i="0" u="none" strike="noStrike" baseline="0">
                <a:solidFill>
                  <a:schemeClr val="bg2">
                    <a:lumMod val="50000"/>
                  </a:schemeClr>
                </a:solidFill>
              </a:rPr>
              <a:t>Party Votes</a:t>
            </a:r>
            <a:endParaRPr lang="en-US" b="1">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00B050"/>
          </a:solidFill>
          <a:ln w="19050">
            <a:solidFill>
              <a:schemeClr val="lt1"/>
            </a:solidFill>
          </a:ln>
          <a:effectLst/>
        </c:spPr>
      </c:pivotFmt>
      <c:pivotFmt>
        <c:idx val="5"/>
        <c:spPr>
          <a:solidFill>
            <a:schemeClr val="accent4">
              <a:lumMod val="60000"/>
              <a:lumOff val="40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4">
              <a:lumMod val="60000"/>
              <a:lumOff val="40000"/>
            </a:schemeClr>
          </a:solidFill>
          <a:ln w="19050">
            <a:solidFill>
              <a:schemeClr val="lt1"/>
            </a:solidFill>
          </a:ln>
          <a:effectLst/>
        </c:spPr>
      </c:pivotFmt>
      <c:pivotFmt>
        <c:idx val="8"/>
        <c:spPr>
          <a:solidFill>
            <a:srgbClr val="00B050"/>
          </a:solidFill>
          <a:ln w="19050">
            <a:solidFill>
              <a:schemeClr val="lt1"/>
            </a:solidFill>
          </a:ln>
          <a:effectLst/>
        </c:spPr>
      </c:pivotFmt>
      <c:pivotFmt>
        <c:idx val="9"/>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4">
              <a:lumMod val="60000"/>
              <a:lumOff val="40000"/>
            </a:schemeClr>
          </a:solidFill>
          <a:ln w="19050">
            <a:solidFill>
              <a:schemeClr val="lt1"/>
            </a:solidFill>
          </a:ln>
          <a:effectLst/>
        </c:spPr>
      </c:pivotFmt>
      <c:pivotFmt>
        <c:idx val="12"/>
        <c:spPr>
          <a:solidFill>
            <a:srgbClr val="00B050"/>
          </a:solidFill>
          <a:ln w="19050">
            <a:solidFill>
              <a:schemeClr val="lt1"/>
            </a:solidFill>
          </a:ln>
          <a:effectLst/>
        </c:spPr>
      </c:pivotFmt>
      <c:pivotFmt>
        <c:idx val="13"/>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doughnutChart>
        <c:varyColors val="1"/>
        <c:ser>
          <c:idx val="0"/>
          <c:order val="0"/>
          <c:tx>
            <c:strRef>
              <c:f>Sheet7!$B$11</c:f>
              <c:strCache>
                <c:ptCount val="1"/>
                <c:pt idx="0">
                  <c:v>Total</c:v>
                </c:pt>
              </c:strCache>
            </c:strRef>
          </c:tx>
          <c:dPt>
            <c:idx val="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1-B15A-416E-82B2-2102678A8190}"/>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B15A-416E-82B2-2102678A8190}"/>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B15A-416E-82B2-2102678A8190}"/>
              </c:ext>
            </c:extLst>
          </c:dPt>
          <c:dLbls>
            <c:dLbl>
              <c:idx val="2"/>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5-B15A-416E-82B2-2102678A8190}"/>
                </c:ext>
              </c:extLst>
            </c:dLbl>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Sheet7!$A$12:$A$14</c:f>
              <c:strCache>
                <c:ptCount val="3"/>
                <c:pt idx="0">
                  <c:v>Party A Votes</c:v>
                </c:pt>
                <c:pt idx="1">
                  <c:v>Party B Votes</c:v>
                </c:pt>
                <c:pt idx="2">
                  <c:v>Party C Votes</c:v>
                </c:pt>
              </c:strCache>
            </c:strRef>
          </c:cat>
          <c:val>
            <c:numRef>
              <c:f>Sheet7!$B$12:$B$14</c:f>
              <c:numCache>
                <c:formatCode>General</c:formatCode>
                <c:ptCount val="3"/>
                <c:pt idx="0">
                  <c:v>375125</c:v>
                </c:pt>
                <c:pt idx="1">
                  <c:v>356324</c:v>
                </c:pt>
                <c:pt idx="2">
                  <c:v>14355</c:v>
                </c:pt>
              </c:numCache>
            </c:numRef>
          </c:val>
          <c:extLst>
            <c:ext xmlns:c16="http://schemas.microsoft.com/office/drawing/2014/chart" uri="{C3380CC4-5D6E-409C-BE32-E72D297353CC}">
              <c16:uniqueId val="{00000006-B15A-416E-82B2-2102678A8190}"/>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Dataset.xlsm]Sheet7!PivotTable13</c:name>
    <c:fmtId val="13"/>
  </c:pivotSource>
  <c:chart>
    <c:title>
      <c:tx>
        <c:rich>
          <a:bodyPr rot="0" spcFirstLastPara="1" vertOverflow="ellipsis" vert="horz" wrap="square" anchor="ctr" anchorCtr="1"/>
          <a:lstStyle/>
          <a:p>
            <a:pPr>
              <a:defRPr sz="1400" b="1" i="0" u="none" strike="noStrike" kern="1200" spc="0" baseline="0">
                <a:solidFill>
                  <a:schemeClr val="bg2">
                    <a:lumMod val="50000"/>
                  </a:schemeClr>
                </a:solidFill>
                <a:latin typeface="+mn-lt"/>
                <a:ea typeface="+mn-ea"/>
                <a:cs typeface="+mn-cs"/>
              </a:defRPr>
            </a:pPr>
            <a:r>
              <a:rPr lang="en-NG" sz="1400" b="1" i="0" u="none" strike="noStrike" baseline="0"/>
              <a:t>Top LGAs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Sheet7!$E$3</c:f>
              <c:strCache>
                <c:ptCount val="1"/>
                <c:pt idx="0">
                  <c:v>Total</c:v>
                </c:pt>
              </c:strCache>
            </c:strRef>
          </c:tx>
          <c:spPr>
            <a:solidFill>
              <a:srgbClr val="00B050"/>
            </a:solidFill>
            <a:ln>
              <a:noFill/>
            </a:ln>
            <a:effectLst/>
          </c:spPr>
          <c:invertIfNegative val="0"/>
          <c:cat>
            <c:strRef>
              <c:f>Sheet7!$D$4:$D$10</c:f>
              <c:strCache>
                <c:ptCount val="6"/>
                <c:pt idx="0">
                  <c:v>Eti-Osa</c:v>
                </c:pt>
                <c:pt idx="1">
                  <c:v>Fagge</c:v>
                </c:pt>
                <c:pt idx="2">
                  <c:v>Nassarawa</c:v>
                </c:pt>
                <c:pt idx="3">
                  <c:v>Obio/Akpor</c:v>
                </c:pt>
                <c:pt idx="4">
                  <c:v>Bwari</c:v>
                </c:pt>
                <c:pt idx="5">
                  <c:v>AMAC</c:v>
                </c:pt>
              </c:strCache>
            </c:strRef>
          </c:cat>
          <c:val>
            <c:numRef>
              <c:f>Sheet7!$E$4:$E$10</c:f>
              <c:numCache>
                <c:formatCode>General</c:formatCode>
                <c:ptCount val="6"/>
                <c:pt idx="0">
                  <c:v>69035</c:v>
                </c:pt>
                <c:pt idx="1">
                  <c:v>74915</c:v>
                </c:pt>
                <c:pt idx="2">
                  <c:v>95025</c:v>
                </c:pt>
                <c:pt idx="3">
                  <c:v>104035</c:v>
                </c:pt>
                <c:pt idx="4">
                  <c:v>107045</c:v>
                </c:pt>
                <c:pt idx="5">
                  <c:v>129915</c:v>
                </c:pt>
              </c:numCache>
            </c:numRef>
          </c:val>
          <c:extLst>
            <c:ext xmlns:c16="http://schemas.microsoft.com/office/drawing/2014/chart" uri="{C3380CC4-5D6E-409C-BE32-E72D297353CC}">
              <c16:uniqueId val="{00000000-0E89-4492-90DC-9213458FDB8F}"/>
            </c:ext>
          </c:extLst>
        </c:ser>
        <c:dLbls>
          <c:showLegendKey val="0"/>
          <c:showVal val="0"/>
          <c:showCatName val="0"/>
          <c:showSerName val="0"/>
          <c:showPercent val="0"/>
          <c:showBubbleSize val="0"/>
        </c:dLbls>
        <c:gapWidth val="83"/>
        <c:axId val="574343135"/>
        <c:axId val="574356575"/>
      </c:barChart>
      <c:catAx>
        <c:axId val="57434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574356575"/>
        <c:crosses val="autoZero"/>
        <c:auto val="1"/>
        <c:lblAlgn val="ctr"/>
        <c:lblOffset val="100"/>
        <c:noMultiLvlLbl val="0"/>
      </c:catAx>
      <c:valAx>
        <c:axId val="574356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574343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Dataset.xlsm]Sheet7!PivotTable14</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400" b="1" i="0" u="none" strike="noStrike" baseline="0"/>
              <a:t>Top Wards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Sheet7!$H$3</c:f>
              <c:strCache>
                <c:ptCount val="1"/>
                <c:pt idx="0">
                  <c:v>Total</c:v>
                </c:pt>
              </c:strCache>
            </c:strRef>
          </c:tx>
          <c:spPr>
            <a:solidFill>
              <a:srgbClr val="00B050"/>
            </a:solidFill>
            <a:ln>
              <a:noFill/>
            </a:ln>
            <a:effectLst/>
          </c:spPr>
          <c:invertIfNegative val="0"/>
          <c:cat>
            <c:strRef>
              <c:f>Sheet7!$G$4:$G$9</c:f>
              <c:strCache>
                <c:ptCount val="5"/>
                <c:pt idx="0">
                  <c:v>Ward DP</c:v>
                </c:pt>
                <c:pt idx="1">
                  <c:v>Ward DO</c:v>
                </c:pt>
                <c:pt idx="2">
                  <c:v>Ward DN</c:v>
                </c:pt>
                <c:pt idx="3">
                  <c:v>Ward DM</c:v>
                </c:pt>
                <c:pt idx="4">
                  <c:v>Ward DL</c:v>
                </c:pt>
              </c:strCache>
            </c:strRef>
          </c:cat>
          <c:val>
            <c:numRef>
              <c:f>Sheet7!$H$4:$H$9</c:f>
              <c:numCache>
                <c:formatCode>General</c:formatCode>
                <c:ptCount val="5"/>
                <c:pt idx="0">
                  <c:v>8825</c:v>
                </c:pt>
                <c:pt idx="1">
                  <c:v>8745</c:v>
                </c:pt>
                <c:pt idx="2">
                  <c:v>8665</c:v>
                </c:pt>
                <c:pt idx="3">
                  <c:v>8585</c:v>
                </c:pt>
                <c:pt idx="4">
                  <c:v>8505</c:v>
                </c:pt>
              </c:numCache>
            </c:numRef>
          </c:val>
          <c:extLst>
            <c:ext xmlns:c16="http://schemas.microsoft.com/office/drawing/2014/chart" uri="{C3380CC4-5D6E-409C-BE32-E72D297353CC}">
              <c16:uniqueId val="{00000000-2ADF-41F8-A1F0-8FE11C131C38}"/>
            </c:ext>
          </c:extLst>
        </c:ser>
        <c:dLbls>
          <c:showLegendKey val="0"/>
          <c:showVal val="0"/>
          <c:showCatName val="0"/>
          <c:showSerName val="0"/>
          <c:showPercent val="0"/>
          <c:showBubbleSize val="0"/>
        </c:dLbls>
        <c:gapWidth val="97"/>
        <c:overlap val="-27"/>
        <c:axId val="574394015"/>
        <c:axId val="574370495"/>
      </c:barChart>
      <c:catAx>
        <c:axId val="574394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70495"/>
        <c:crossesAt val="8300"/>
        <c:auto val="1"/>
        <c:lblAlgn val="ctr"/>
        <c:lblOffset val="100"/>
        <c:noMultiLvlLbl val="0"/>
      </c:catAx>
      <c:valAx>
        <c:axId val="574370495"/>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4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Dataset.xlsm]Sheet7!PivotTable15</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400" b="1" i="0" u="none" strike="noStrike" baseline="0"/>
              <a:t>Party Dominance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2">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Sheet7!$E$14</c:f>
              <c:strCache>
                <c:ptCount val="1"/>
                <c:pt idx="0">
                  <c:v>Sum of Party A shares %</c:v>
                </c:pt>
              </c:strCache>
            </c:strRef>
          </c:tx>
          <c:spPr>
            <a:solidFill>
              <a:schemeClr val="accent4">
                <a:lumMod val="60000"/>
                <a:lumOff val="40000"/>
              </a:schemeClr>
            </a:solidFill>
            <a:ln>
              <a:noFill/>
            </a:ln>
            <a:effectLst/>
          </c:spPr>
          <c:invertIfNegative val="0"/>
          <c:cat>
            <c:strRef>
              <c:f>Sheet7!$D$15:$D$19</c:f>
              <c:strCache>
                <c:ptCount val="4"/>
                <c:pt idx="0">
                  <c:v>Abuja</c:v>
                </c:pt>
                <c:pt idx="1">
                  <c:v>Kano</c:v>
                </c:pt>
                <c:pt idx="2">
                  <c:v>Lagos</c:v>
                </c:pt>
                <c:pt idx="3">
                  <c:v>Rivers</c:v>
                </c:pt>
              </c:strCache>
            </c:strRef>
          </c:cat>
          <c:val>
            <c:numRef>
              <c:f>Sheet7!$E$15:$E$19</c:f>
              <c:numCache>
                <c:formatCode>General</c:formatCode>
                <c:ptCount val="4"/>
                <c:pt idx="0">
                  <c:v>98.566832853894979</c:v>
                </c:pt>
                <c:pt idx="1">
                  <c:v>98.711421314550265</c:v>
                </c:pt>
                <c:pt idx="2">
                  <c:v>98.193676608503054</c:v>
                </c:pt>
                <c:pt idx="3">
                  <c:v>99.152851728359252</c:v>
                </c:pt>
              </c:numCache>
            </c:numRef>
          </c:val>
          <c:extLst>
            <c:ext xmlns:c16="http://schemas.microsoft.com/office/drawing/2014/chart" uri="{C3380CC4-5D6E-409C-BE32-E72D297353CC}">
              <c16:uniqueId val="{00000000-AD89-4D9E-B1F9-C6DFCA1B1D92}"/>
            </c:ext>
          </c:extLst>
        </c:ser>
        <c:ser>
          <c:idx val="1"/>
          <c:order val="1"/>
          <c:tx>
            <c:strRef>
              <c:f>Sheet7!$F$14</c:f>
              <c:strCache>
                <c:ptCount val="1"/>
                <c:pt idx="0">
                  <c:v>Sum of Party B Shares %</c:v>
                </c:pt>
              </c:strCache>
            </c:strRef>
          </c:tx>
          <c:spPr>
            <a:solidFill>
              <a:schemeClr val="accent4"/>
            </a:solidFill>
            <a:ln>
              <a:noFill/>
            </a:ln>
            <a:effectLst/>
          </c:spPr>
          <c:invertIfNegative val="0"/>
          <c:cat>
            <c:strRef>
              <c:f>Sheet7!$D$15:$D$19</c:f>
              <c:strCache>
                <c:ptCount val="4"/>
                <c:pt idx="0">
                  <c:v>Abuja</c:v>
                </c:pt>
                <c:pt idx="1">
                  <c:v>Kano</c:v>
                </c:pt>
                <c:pt idx="2">
                  <c:v>Lagos</c:v>
                </c:pt>
                <c:pt idx="3">
                  <c:v>Rivers</c:v>
                </c:pt>
              </c:strCache>
            </c:strRef>
          </c:cat>
          <c:val>
            <c:numRef>
              <c:f>Sheet7!$F$15:$F$19</c:f>
              <c:numCache>
                <c:formatCode>General</c:formatCode>
                <c:ptCount val="4"/>
                <c:pt idx="0">
                  <c:v>93.816330703389312</c:v>
                </c:pt>
                <c:pt idx="1">
                  <c:v>93.6969263486194</c:v>
                </c:pt>
                <c:pt idx="2">
                  <c:v>91.971120674143464</c:v>
                </c:pt>
                <c:pt idx="3">
                  <c:v>94.62709695075003</c:v>
                </c:pt>
              </c:numCache>
            </c:numRef>
          </c:val>
          <c:extLst>
            <c:ext xmlns:c16="http://schemas.microsoft.com/office/drawing/2014/chart" uri="{C3380CC4-5D6E-409C-BE32-E72D297353CC}">
              <c16:uniqueId val="{00000001-AD89-4D9E-B1F9-C6DFCA1B1D92}"/>
            </c:ext>
          </c:extLst>
        </c:ser>
        <c:ser>
          <c:idx val="2"/>
          <c:order val="2"/>
          <c:tx>
            <c:strRef>
              <c:f>Sheet7!$G$14</c:f>
              <c:strCache>
                <c:ptCount val="1"/>
                <c:pt idx="0">
                  <c:v>Sum of Party C Shares %</c:v>
                </c:pt>
              </c:strCache>
            </c:strRef>
          </c:tx>
          <c:spPr>
            <a:solidFill>
              <a:schemeClr val="bg2">
                <a:lumMod val="65000"/>
              </a:schemeClr>
            </a:solidFill>
            <a:ln>
              <a:noFill/>
            </a:ln>
            <a:effectLst/>
          </c:spPr>
          <c:invertIfNegative val="0"/>
          <c:cat>
            <c:strRef>
              <c:f>Sheet7!$D$15:$D$19</c:f>
              <c:strCache>
                <c:ptCount val="4"/>
                <c:pt idx="0">
                  <c:v>Abuja</c:v>
                </c:pt>
                <c:pt idx="1">
                  <c:v>Kano</c:v>
                </c:pt>
                <c:pt idx="2">
                  <c:v>Lagos</c:v>
                </c:pt>
                <c:pt idx="3">
                  <c:v>Rivers</c:v>
                </c:pt>
              </c:strCache>
            </c:strRef>
          </c:cat>
          <c:val>
            <c:numRef>
              <c:f>Sheet7!$G$15:$G$19</c:f>
              <c:numCache>
                <c:formatCode>General</c:formatCode>
                <c:ptCount val="4"/>
                <c:pt idx="0">
                  <c:v>3.9133223887988926</c:v>
                </c:pt>
                <c:pt idx="1">
                  <c:v>3.8273179030317226</c:v>
                </c:pt>
                <c:pt idx="2">
                  <c:v>4.0379230089427676</c:v>
                </c:pt>
                <c:pt idx="3">
                  <c:v>3.5565151794286081</c:v>
                </c:pt>
              </c:numCache>
            </c:numRef>
          </c:val>
          <c:extLst>
            <c:ext xmlns:c16="http://schemas.microsoft.com/office/drawing/2014/chart" uri="{C3380CC4-5D6E-409C-BE32-E72D297353CC}">
              <c16:uniqueId val="{00000002-AD89-4D9E-B1F9-C6DFCA1B1D92}"/>
            </c:ext>
          </c:extLst>
        </c:ser>
        <c:dLbls>
          <c:showLegendKey val="0"/>
          <c:showVal val="0"/>
          <c:showCatName val="0"/>
          <c:showSerName val="0"/>
          <c:showPercent val="0"/>
          <c:showBubbleSize val="0"/>
        </c:dLbls>
        <c:gapWidth val="150"/>
        <c:overlap val="100"/>
        <c:axId val="1107579295"/>
        <c:axId val="1107590335"/>
      </c:barChart>
      <c:catAx>
        <c:axId val="1107579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590335"/>
        <c:crosses val="autoZero"/>
        <c:auto val="1"/>
        <c:lblAlgn val="ctr"/>
        <c:lblOffset val="100"/>
        <c:noMultiLvlLbl val="0"/>
      </c:catAx>
      <c:valAx>
        <c:axId val="110759033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579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Dataset.xlsm]Sheet7!PivotTable18</c:name>
    <c:fmtId val="2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NG" sz="1400" b="1" i="0" u="none" strike="noStrike" baseline="0"/>
              <a:t>Winning Margins &amp; Closest Contests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Sheet7!$E$30</c:f>
              <c:strCache>
                <c:ptCount val="1"/>
                <c:pt idx="0">
                  <c:v>Total</c:v>
                </c:pt>
              </c:strCache>
            </c:strRef>
          </c:tx>
          <c:spPr>
            <a:solidFill>
              <a:srgbClr val="00B050"/>
            </a:solidFill>
            <a:ln>
              <a:noFill/>
            </a:ln>
            <a:effectLst/>
          </c:spPr>
          <c:invertIfNegative val="0"/>
          <c:cat>
            <c:strRef>
              <c:f>Sheet7!$D$31:$D$35</c:f>
              <c:strCache>
                <c:ptCount val="4"/>
                <c:pt idx="0">
                  <c:v>Lagos</c:v>
                </c:pt>
                <c:pt idx="1">
                  <c:v>Abuja</c:v>
                </c:pt>
                <c:pt idx="2">
                  <c:v>Kano</c:v>
                </c:pt>
                <c:pt idx="3">
                  <c:v>Rivers</c:v>
                </c:pt>
              </c:strCache>
            </c:strRef>
          </c:cat>
          <c:val>
            <c:numRef>
              <c:f>Sheet7!$E$31:$E$35</c:f>
              <c:numCache>
                <c:formatCode>0.00</c:formatCode>
                <c:ptCount val="4"/>
                <c:pt idx="0">
                  <c:v>4176</c:v>
                </c:pt>
                <c:pt idx="1">
                  <c:v>5700</c:v>
                </c:pt>
                <c:pt idx="2">
                  <c:v>4255</c:v>
                </c:pt>
                <c:pt idx="3">
                  <c:v>4670</c:v>
                </c:pt>
              </c:numCache>
            </c:numRef>
          </c:val>
          <c:extLst>
            <c:ext xmlns:c16="http://schemas.microsoft.com/office/drawing/2014/chart" uri="{C3380CC4-5D6E-409C-BE32-E72D297353CC}">
              <c16:uniqueId val="{00000000-E99C-4AFE-9336-E13F1F1F19E4}"/>
            </c:ext>
          </c:extLst>
        </c:ser>
        <c:dLbls>
          <c:showLegendKey val="0"/>
          <c:showVal val="0"/>
          <c:showCatName val="0"/>
          <c:showSerName val="0"/>
          <c:showPercent val="0"/>
          <c:showBubbleSize val="0"/>
        </c:dLbls>
        <c:gapWidth val="91"/>
        <c:axId val="1107470335"/>
        <c:axId val="1107478015"/>
      </c:barChart>
      <c:catAx>
        <c:axId val="110747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478015"/>
        <c:crosses val="autoZero"/>
        <c:auto val="1"/>
        <c:lblAlgn val="ctr"/>
        <c:lblOffset val="100"/>
        <c:noMultiLvlLbl val="0"/>
      </c:catAx>
      <c:valAx>
        <c:axId val="11074780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470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Dataset.xlsm]Sheet7!PivotTable2</c:name>
    <c:fmtId val="11"/>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NG" sz="1400" b="1" i="0" u="none" strike="noStrike" baseline="0"/>
              <a:t>State Votes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Total</c:v>
                </c:pt>
              </c:strCache>
            </c:strRef>
          </c:tx>
          <c:spPr>
            <a:solidFill>
              <a:srgbClr val="00B050"/>
            </a:solidFill>
            <a:ln>
              <a:noFill/>
            </a:ln>
            <a:effectLst/>
          </c:spPr>
          <c:invertIfNegative val="0"/>
          <c:cat>
            <c:strRef>
              <c:f>Sheet7!$A$4:$A$8</c:f>
              <c:strCache>
                <c:ptCount val="4"/>
                <c:pt idx="0">
                  <c:v>Abuja</c:v>
                </c:pt>
                <c:pt idx="1">
                  <c:v>Kano</c:v>
                </c:pt>
                <c:pt idx="2">
                  <c:v>Lagos</c:v>
                </c:pt>
                <c:pt idx="3">
                  <c:v>Rivers</c:v>
                </c:pt>
              </c:strCache>
            </c:strRef>
          </c:cat>
          <c:val>
            <c:numRef>
              <c:f>Sheet7!$B$4:$B$8</c:f>
              <c:numCache>
                <c:formatCode>General</c:formatCode>
                <c:ptCount val="4"/>
                <c:pt idx="0">
                  <c:v>236960</c:v>
                </c:pt>
                <c:pt idx="1">
                  <c:v>169940</c:v>
                </c:pt>
                <c:pt idx="2">
                  <c:v>133644</c:v>
                </c:pt>
                <c:pt idx="3">
                  <c:v>205260</c:v>
                </c:pt>
              </c:numCache>
            </c:numRef>
          </c:val>
          <c:extLst>
            <c:ext xmlns:c16="http://schemas.microsoft.com/office/drawing/2014/chart" uri="{C3380CC4-5D6E-409C-BE32-E72D297353CC}">
              <c16:uniqueId val="{00000000-BAC5-43A5-A82E-63DCC8D4F7C8}"/>
            </c:ext>
          </c:extLst>
        </c:ser>
        <c:dLbls>
          <c:showLegendKey val="0"/>
          <c:showVal val="0"/>
          <c:showCatName val="0"/>
          <c:showSerName val="0"/>
          <c:showPercent val="0"/>
          <c:showBubbleSize val="0"/>
        </c:dLbls>
        <c:gapWidth val="100"/>
        <c:overlap val="-27"/>
        <c:axId val="401787519"/>
        <c:axId val="401787999"/>
      </c:barChart>
      <c:catAx>
        <c:axId val="40178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401787999"/>
        <c:crosses val="autoZero"/>
        <c:auto val="1"/>
        <c:lblAlgn val="ctr"/>
        <c:lblOffset val="100"/>
        <c:noMultiLvlLbl val="0"/>
      </c:catAx>
      <c:valAx>
        <c:axId val="401787999"/>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401787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Dataset.xlsm]Sheet7!PivotTable3</c:name>
    <c:fmtId val="20"/>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NG" sz="1400" b="1" i="0" u="none" strike="noStrike" baseline="0">
                <a:solidFill>
                  <a:schemeClr val="bg2">
                    <a:lumMod val="50000"/>
                  </a:schemeClr>
                </a:solidFill>
              </a:rPr>
              <a:t>Party Votes</a:t>
            </a:r>
            <a:endParaRPr lang="en-US" b="1">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00B050"/>
          </a:solidFill>
          <a:ln w="19050">
            <a:solidFill>
              <a:schemeClr val="lt1"/>
            </a:solidFill>
          </a:ln>
          <a:effectLst/>
        </c:spPr>
      </c:pivotFmt>
      <c:pivotFmt>
        <c:idx val="5"/>
        <c:spPr>
          <a:solidFill>
            <a:schemeClr val="accent4">
              <a:lumMod val="60000"/>
              <a:lumOff val="40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4">
              <a:lumMod val="60000"/>
              <a:lumOff val="40000"/>
            </a:schemeClr>
          </a:solidFill>
          <a:ln w="19050">
            <a:solidFill>
              <a:schemeClr val="lt1"/>
            </a:solidFill>
          </a:ln>
          <a:effectLst/>
        </c:spPr>
      </c:pivotFmt>
      <c:pivotFmt>
        <c:idx val="8"/>
        <c:spPr>
          <a:solidFill>
            <a:srgbClr val="00B050"/>
          </a:solidFill>
          <a:ln w="19050">
            <a:solidFill>
              <a:schemeClr val="lt1"/>
            </a:solidFill>
          </a:ln>
          <a:effectLst/>
        </c:spPr>
      </c:pivotFmt>
      <c:pivotFmt>
        <c:idx val="9"/>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4">
              <a:lumMod val="60000"/>
              <a:lumOff val="40000"/>
            </a:schemeClr>
          </a:solidFill>
          <a:ln w="19050">
            <a:solidFill>
              <a:schemeClr val="lt1"/>
            </a:solidFill>
          </a:ln>
          <a:effectLst/>
        </c:spPr>
      </c:pivotFmt>
      <c:pivotFmt>
        <c:idx val="12"/>
        <c:spPr>
          <a:solidFill>
            <a:srgbClr val="00B050"/>
          </a:solidFill>
          <a:ln w="19050">
            <a:solidFill>
              <a:schemeClr val="lt1"/>
            </a:solidFill>
          </a:ln>
          <a:effectLst/>
        </c:spPr>
      </c:pivotFmt>
      <c:pivotFmt>
        <c:idx val="13"/>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4">
              <a:lumMod val="60000"/>
              <a:lumOff val="40000"/>
            </a:schemeClr>
          </a:solidFill>
          <a:ln w="19050">
            <a:solidFill>
              <a:schemeClr val="lt1"/>
            </a:solidFill>
          </a:ln>
          <a:effectLst/>
        </c:spPr>
      </c:pivotFmt>
      <c:pivotFmt>
        <c:idx val="16"/>
        <c:spPr>
          <a:solidFill>
            <a:srgbClr val="00B050"/>
          </a:solidFill>
          <a:ln w="19050">
            <a:solidFill>
              <a:schemeClr val="lt1"/>
            </a:solidFill>
          </a:ln>
          <a:effectLst/>
        </c:spPr>
      </c:pivotFmt>
      <c:pivotFmt>
        <c:idx val="17"/>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8"/>
        <c:spPr>
          <a:solidFill>
            <a:schemeClr val="accent1"/>
          </a:solidFill>
          <a:ln w="19050">
            <a:solidFill>
              <a:schemeClr val="lt1"/>
            </a:solidFill>
          </a:ln>
          <a:effectLst/>
        </c:spPr>
        <c:marker>
          <c:symbol val="none"/>
        </c:marker>
        <c:dLbl>
          <c:idx val="0"/>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4">
              <a:lumMod val="60000"/>
              <a:lumOff val="40000"/>
            </a:schemeClr>
          </a:solidFill>
          <a:ln w="19050">
            <a:solidFill>
              <a:schemeClr val="lt1"/>
            </a:solidFill>
          </a:ln>
          <a:effectLst/>
        </c:spPr>
      </c:pivotFmt>
      <c:pivotFmt>
        <c:idx val="20"/>
        <c:spPr>
          <a:solidFill>
            <a:srgbClr val="00B050"/>
          </a:solidFill>
          <a:ln w="19050">
            <a:solidFill>
              <a:schemeClr val="lt1"/>
            </a:solidFill>
          </a:ln>
          <a:effectLst/>
        </c:spPr>
      </c:pivotFmt>
      <c:pivotFmt>
        <c:idx val="21"/>
        <c:spPr>
          <a:solidFill>
            <a:schemeClr val="bg2">
              <a:lumMod val="75000"/>
            </a:schemeClr>
          </a:solidFill>
          <a:ln w="19050">
            <a:solidFill>
              <a:schemeClr val="lt1"/>
            </a:solidFill>
          </a:ln>
          <a:effectLst/>
        </c:spPr>
        <c:dLbl>
          <c:idx val="0"/>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doughnutChart>
        <c:varyColors val="1"/>
        <c:ser>
          <c:idx val="0"/>
          <c:order val="0"/>
          <c:tx>
            <c:strRef>
              <c:f>Sheet7!$B$11</c:f>
              <c:strCache>
                <c:ptCount val="1"/>
                <c:pt idx="0">
                  <c:v>Total</c:v>
                </c:pt>
              </c:strCache>
            </c:strRef>
          </c:tx>
          <c:dPt>
            <c:idx val="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1-1C32-45F0-BE1E-69F25ECA1626}"/>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1C32-45F0-BE1E-69F25ECA1626}"/>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1C32-45F0-BE1E-69F25ECA1626}"/>
              </c:ext>
            </c:extLst>
          </c:dPt>
          <c:dLbls>
            <c:dLbl>
              <c:idx val="2"/>
              <c:layout>
                <c:manualLayout>
                  <c:x val="-1.6666666666666666E-2"/>
                  <c:y val="0"/>
                </c:manualLayout>
              </c:layout>
              <c:spPr>
                <a:solidFill>
                  <a:schemeClr val="accent4">
                    <a:lumMod val="50000"/>
                  </a:schemeClr>
                </a:solidFill>
                <a:ln>
                  <a:noFill/>
                </a:ln>
                <a:effectLst/>
              </c:spPr>
              <c:txPr>
                <a:bodyPr rot="0" spcFirstLastPara="1" vertOverflow="ellipsis" horzOverflow="clip"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5-1C32-45F0-BE1E-69F25ECA1626}"/>
                </c:ext>
              </c:extLst>
            </c:dLbl>
            <c:spPr>
              <a:solidFill>
                <a:schemeClr val="accent4">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6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Sheet7!$A$12:$A$14</c:f>
              <c:strCache>
                <c:ptCount val="3"/>
                <c:pt idx="0">
                  <c:v>Party A Votes</c:v>
                </c:pt>
                <c:pt idx="1">
                  <c:v>Party B Votes</c:v>
                </c:pt>
                <c:pt idx="2">
                  <c:v>Party C Votes</c:v>
                </c:pt>
              </c:strCache>
            </c:strRef>
          </c:cat>
          <c:val>
            <c:numRef>
              <c:f>Sheet7!$B$12:$B$14</c:f>
              <c:numCache>
                <c:formatCode>General</c:formatCode>
                <c:ptCount val="3"/>
                <c:pt idx="0">
                  <c:v>375125</c:v>
                </c:pt>
                <c:pt idx="1">
                  <c:v>356324</c:v>
                </c:pt>
                <c:pt idx="2">
                  <c:v>14355</c:v>
                </c:pt>
              </c:numCache>
            </c:numRef>
          </c:val>
          <c:extLst>
            <c:ext xmlns:c16="http://schemas.microsoft.com/office/drawing/2014/chart" uri="{C3380CC4-5D6E-409C-BE32-E72D297353CC}">
              <c16:uniqueId val="{00000006-1C32-45F0-BE1E-69F25ECA1626}"/>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Dataset.xlsm]Sheet7!PivotTable13</c:name>
    <c:fmtId val="19"/>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NG" sz="1400" b="1" i="0" u="none" strike="noStrike" baseline="0"/>
              <a:t>Top LGAs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Sheet7!$E$3</c:f>
              <c:strCache>
                <c:ptCount val="1"/>
                <c:pt idx="0">
                  <c:v>Total</c:v>
                </c:pt>
              </c:strCache>
            </c:strRef>
          </c:tx>
          <c:spPr>
            <a:solidFill>
              <a:srgbClr val="00B050"/>
            </a:solidFill>
            <a:ln>
              <a:noFill/>
            </a:ln>
            <a:effectLst/>
          </c:spPr>
          <c:invertIfNegative val="0"/>
          <c:cat>
            <c:strRef>
              <c:f>Sheet7!$D$4:$D$10</c:f>
              <c:strCache>
                <c:ptCount val="6"/>
                <c:pt idx="0">
                  <c:v>Eti-Osa</c:v>
                </c:pt>
                <c:pt idx="1">
                  <c:v>Fagge</c:v>
                </c:pt>
                <c:pt idx="2">
                  <c:v>Nassarawa</c:v>
                </c:pt>
                <c:pt idx="3">
                  <c:v>Obio/Akpor</c:v>
                </c:pt>
                <c:pt idx="4">
                  <c:v>Bwari</c:v>
                </c:pt>
                <c:pt idx="5">
                  <c:v>AMAC</c:v>
                </c:pt>
              </c:strCache>
            </c:strRef>
          </c:cat>
          <c:val>
            <c:numRef>
              <c:f>Sheet7!$E$4:$E$10</c:f>
              <c:numCache>
                <c:formatCode>General</c:formatCode>
                <c:ptCount val="6"/>
                <c:pt idx="0">
                  <c:v>69035</c:v>
                </c:pt>
                <c:pt idx="1">
                  <c:v>74915</c:v>
                </c:pt>
                <c:pt idx="2">
                  <c:v>95025</c:v>
                </c:pt>
                <c:pt idx="3">
                  <c:v>104035</c:v>
                </c:pt>
                <c:pt idx="4">
                  <c:v>107045</c:v>
                </c:pt>
                <c:pt idx="5">
                  <c:v>129915</c:v>
                </c:pt>
              </c:numCache>
            </c:numRef>
          </c:val>
          <c:extLst>
            <c:ext xmlns:c16="http://schemas.microsoft.com/office/drawing/2014/chart" uri="{C3380CC4-5D6E-409C-BE32-E72D297353CC}">
              <c16:uniqueId val="{00000000-9CCE-4027-BF32-6ECDF286BA93}"/>
            </c:ext>
          </c:extLst>
        </c:ser>
        <c:dLbls>
          <c:showLegendKey val="0"/>
          <c:showVal val="0"/>
          <c:showCatName val="0"/>
          <c:showSerName val="0"/>
          <c:showPercent val="0"/>
          <c:showBubbleSize val="0"/>
        </c:dLbls>
        <c:gapWidth val="83"/>
        <c:axId val="574343135"/>
        <c:axId val="574356575"/>
      </c:barChart>
      <c:catAx>
        <c:axId val="57434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574356575"/>
        <c:crosses val="autoZero"/>
        <c:auto val="1"/>
        <c:lblAlgn val="ctr"/>
        <c:lblOffset val="100"/>
        <c:noMultiLvlLbl val="0"/>
      </c:catAx>
      <c:valAx>
        <c:axId val="5743565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574343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[INEC Election Dataset.xlsm]Sheet7!PivotTable14</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400" b="1" i="0" u="none" strike="noStrike" baseline="0"/>
              <a:t>Top Wards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Sheet7!$H$3</c:f>
              <c:strCache>
                <c:ptCount val="1"/>
                <c:pt idx="0">
                  <c:v>Total</c:v>
                </c:pt>
              </c:strCache>
            </c:strRef>
          </c:tx>
          <c:spPr>
            <a:solidFill>
              <a:srgbClr val="00B050"/>
            </a:solidFill>
            <a:ln>
              <a:noFill/>
            </a:ln>
            <a:effectLst/>
          </c:spPr>
          <c:invertIfNegative val="0"/>
          <c:cat>
            <c:strRef>
              <c:f>Sheet7!$G$4:$G$9</c:f>
              <c:strCache>
                <c:ptCount val="5"/>
                <c:pt idx="0">
                  <c:v>Ward DP</c:v>
                </c:pt>
                <c:pt idx="1">
                  <c:v>Ward DO</c:v>
                </c:pt>
                <c:pt idx="2">
                  <c:v>Ward DN</c:v>
                </c:pt>
                <c:pt idx="3">
                  <c:v>Ward DM</c:v>
                </c:pt>
                <c:pt idx="4">
                  <c:v>Ward DL</c:v>
                </c:pt>
              </c:strCache>
            </c:strRef>
          </c:cat>
          <c:val>
            <c:numRef>
              <c:f>Sheet7!$H$4:$H$9</c:f>
              <c:numCache>
                <c:formatCode>General</c:formatCode>
                <c:ptCount val="5"/>
                <c:pt idx="0">
                  <c:v>8825</c:v>
                </c:pt>
                <c:pt idx="1">
                  <c:v>8745</c:v>
                </c:pt>
                <c:pt idx="2">
                  <c:v>8665</c:v>
                </c:pt>
                <c:pt idx="3">
                  <c:v>8585</c:v>
                </c:pt>
                <c:pt idx="4">
                  <c:v>8505</c:v>
                </c:pt>
              </c:numCache>
            </c:numRef>
          </c:val>
          <c:extLst>
            <c:ext xmlns:c16="http://schemas.microsoft.com/office/drawing/2014/chart" uri="{C3380CC4-5D6E-409C-BE32-E72D297353CC}">
              <c16:uniqueId val="{00000000-F5AD-40F4-8D8D-9414F5643BC9}"/>
            </c:ext>
          </c:extLst>
        </c:ser>
        <c:dLbls>
          <c:showLegendKey val="0"/>
          <c:showVal val="0"/>
          <c:showCatName val="0"/>
          <c:showSerName val="0"/>
          <c:showPercent val="0"/>
          <c:showBubbleSize val="0"/>
        </c:dLbls>
        <c:gapWidth val="97"/>
        <c:overlap val="-27"/>
        <c:axId val="574394015"/>
        <c:axId val="574370495"/>
      </c:barChart>
      <c:catAx>
        <c:axId val="574394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70495"/>
        <c:crossesAt val="8300"/>
        <c:auto val="1"/>
        <c:lblAlgn val="ctr"/>
        <c:lblOffset val="100"/>
        <c:noMultiLvlLbl val="0"/>
      </c:catAx>
      <c:valAx>
        <c:axId val="574370495"/>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4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Insights!A1"/><Relationship Id="rId7"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hyperlink" Target="#Contact_page!A1"/></Relationships>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9.png"/><Relationship Id="rId3" Type="http://schemas.openxmlformats.org/officeDocument/2006/relationships/hyperlink" Target="#Insights!A1"/><Relationship Id="rId7" Type="http://schemas.openxmlformats.org/officeDocument/2006/relationships/chart" Target="../charts/chart1.xml"/><Relationship Id="rId12" Type="http://schemas.openxmlformats.org/officeDocument/2006/relationships/image" Target="../media/image8.png"/><Relationship Id="rId2" Type="http://schemas.openxmlformats.org/officeDocument/2006/relationships/hyperlink" Target="#Home!A1"/><Relationship Id="rId1" Type="http://schemas.openxmlformats.org/officeDocument/2006/relationships/image" Target="../media/image6.png"/><Relationship Id="rId6" Type="http://schemas.openxmlformats.org/officeDocument/2006/relationships/hyperlink" Target="#dataset!A1"/><Relationship Id="rId11" Type="http://schemas.openxmlformats.org/officeDocument/2006/relationships/image" Target="../media/image7.png"/><Relationship Id="rId5" Type="http://schemas.openxmlformats.org/officeDocument/2006/relationships/hyperlink" Target="#Deep_Insights!A1"/><Relationship Id="rId10" Type="http://schemas.openxmlformats.org/officeDocument/2006/relationships/chart" Target="../charts/chart4.xml"/><Relationship Id="rId4" Type="http://schemas.openxmlformats.org/officeDocument/2006/relationships/hyperlink" Target="#Contact_page!A1"/><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hyperlink" Target="#Contact_page!A1"/><Relationship Id="rId3" Type="http://schemas.openxmlformats.org/officeDocument/2006/relationships/hyperlink" Target="#Database!A1"/><Relationship Id="rId7" Type="http://schemas.openxmlformats.org/officeDocument/2006/relationships/hyperlink" Target="#Insights!A1"/><Relationship Id="rId2" Type="http://schemas.openxmlformats.org/officeDocument/2006/relationships/hyperlink" Target="#Dashboard!A1"/><Relationship Id="rId1" Type="http://schemas.openxmlformats.org/officeDocument/2006/relationships/image" Target="../media/image1.png"/><Relationship Id="rId6" Type="http://schemas.openxmlformats.org/officeDocument/2006/relationships/hyperlink" Target="#Home!A1"/><Relationship Id="rId11" Type="http://schemas.openxmlformats.org/officeDocument/2006/relationships/image" Target="../media/image5.png"/><Relationship Id="rId5" Type="http://schemas.openxmlformats.org/officeDocument/2006/relationships/chart" Target="../charts/chart6.xml"/><Relationship Id="rId10" Type="http://schemas.openxmlformats.org/officeDocument/2006/relationships/image" Target="../media/image10.png"/><Relationship Id="rId4" Type="http://schemas.openxmlformats.org/officeDocument/2006/relationships/chart" Target="../charts/chart5.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1.png"/><Relationship Id="rId6" Type="http://schemas.openxmlformats.org/officeDocument/2006/relationships/hyperlink" Target="#Dashboard!A1"/><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hyperlink" Target="#Insights!A1"/><Relationship Id="rId2" Type="http://schemas.openxmlformats.org/officeDocument/2006/relationships/hyperlink" Target="#Home!A1"/><Relationship Id="rId1" Type="http://schemas.openxmlformats.org/officeDocument/2006/relationships/image" Target="../media/image1.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0</xdr:rowOff>
    </xdr:from>
    <xdr:to>
      <xdr:col>17</xdr:col>
      <xdr:colOff>0</xdr:colOff>
      <xdr:row>8</xdr:row>
      <xdr:rowOff>70555</xdr:rowOff>
    </xdr:to>
    <xdr:sp macro="" textlink="">
      <xdr:nvSpPr>
        <xdr:cNvPr id="2" name="Rectangle 1">
          <a:extLst>
            <a:ext uri="{FF2B5EF4-FFF2-40B4-BE49-F238E27FC236}">
              <a16:creationId xmlns:a16="http://schemas.microsoft.com/office/drawing/2014/main" id="{6C0685C2-59E1-42B7-8C48-94FE04026DCD}"/>
            </a:ext>
          </a:extLst>
        </xdr:cNvPr>
        <xdr:cNvSpPr/>
      </xdr:nvSpPr>
      <xdr:spPr>
        <a:xfrm>
          <a:off x="0" y="514350"/>
          <a:ext cx="16402050" cy="927805"/>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15240</xdr:colOff>
      <xdr:row>0</xdr:row>
      <xdr:rowOff>15240</xdr:rowOff>
    </xdr:from>
    <xdr:to>
      <xdr:col>17</xdr:col>
      <xdr:colOff>0</xdr:colOff>
      <xdr:row>3</xdr:row>
      <xdr:rowOff>152400</xdr:rowOff>
    </xdr:to>
    <xdr:sp macro="" textlink="">
      <xdr:nvSpPr>
        <xdr:cNvPr id="3" name="Rectangle 2">
          <a:extLst>
            <a:ext uri="{FF2B5EF4-FFF2-40B4-BE49-F238E27FC236}">
              <a16:creationId xmlns:a16="http://schemas.microsoft.com/office/drawing/2014/main" id="{B9E3B0A3-7E5B-4B6F-BF51-EFCD5C062A84}"/>
            </a:ext>
          </a:extLst>
        </xdr:cNvPr>
        <xdr:cNvSpPr/>
      </xdr:nvSpPr>
      <xdr:spPr>
        <a:xfrm>
          <a:off x="15240" y="15240"/>
          <a:ext cx="16390620" cy="640080"/>
        </a:xfrm>
        <a:prstGeom prst="rect">
          <a:avLst/>
        </a:prstGeom>
        <a:solidFill>
          <a:schemeClr val="bg2">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251460</xdr:colOff>
      <xdr:row>0</xdr:row>
      <xdr:rowOff>7620</xdr:rowOff>
    </xdr:from>
    <xdr:to>
      <xdr:col>2</xdr:col>
      <xdr:colOff>137160</xdr:colOff>
      <xdr:row>3</xdr:row>
      <xdr:rowOff>141514</xdr:rowOff>
    </xdr:to>
    <xdr:pic>
      <xdr:nvPicPr>
        <xdr:cNvPr id="4" name="Picture 3">
          <a:extLst>
            <a:ext uri="{FF2B5EF4-FFF2-40B4-BE49-F238E27FC236}">
              <a16:creationId xmlns:a16="http://schemas.microsoft.com/office/drawing/2014/main" id="{830F738B-8ED0-4B51-BD7C-24ECD6C43FC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234" r="25155"/>
        <a:stretch>
          <a:fillRect/>
        </a:stretch>
      </xdr:blipFill>
      <xdr:spPr>
        <a:xfrm>
          <a:off x="861060" y="7620"/>
          <a:ext cx="495300" cy="636814"/>
        </a:xfrm>
        <a:prstGeom prst="rect">
          <a:avLst/>
        </a:prstGeom>
      </xdr:spPr>
    </xdr:pic>
    <xdr:clientData/>
  </xdr:twoCellAnchor>
  <xdr:twoCellAnchor>
    <xdr:from>
      <xdr:col>2</xdr:col>
      <xdr:colOff>129540</xdr:colOff>
      <xdr:row>0</xdr:row>
      <xdr:rowOff>76200</xdr:rowOff>
    </xdr:from>
    <xdr:to>
      <xdr:col>6</xdr:col>
      <xdr:colOff>518160</xdr:colOff>
      <xdr:row>2</xdr:row>
      <xdr:rowOff>76200</xdr:rowOff>
    </xdr:to>
    <xdr:sp macro="" textlink="">
      <xdr:nvSpPr>
        <xdr:cNvPr id="5" name="TextBox 4">
          <a:extLst>
            <a:ext uri="{FF2B5EF4-FFF2-40B4-BE49-F238E27FC236}">
              <a16:creationId xmlns:a16="http://schemas.microsoft.com/office/drawing/2014/main" id="{1B752BA9-5DB8-4246-895E-F1E415AE160E}"/>
            </a:ext>
          </a:extLst>
        </xdr:cNvPr>
        <xdr:cNvSpPr txBox="1"/>
      </xdr:nvSpPr>
      <xdr:spPr>
        <a:xfrm>
          <a:off x="1348740" y="76200"/>
          <a:ext cx="45034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800" b="1">
              <a:solidFill>
                <a:schemeClr val="bg2">
                  <a:lumMod val="65000"/>
                </a:schemeClr>
              </a:solidFill>
            </a:rPr>
            <a:t>INDEPENDENT</a:t>
          </a:r>
          <a:endParaRPr lang="en-NG" sz="2800" b="1">
            <a:solidFill>
              <a:schemeClr val="bg2">
                <a:lumMod val="65000"/>
              </a:schemeClr>
            </a:solidFill>
          </a:endParaRPr>
        </a:p>
      </xdr:txBody>
    </xdr:sp>
    <xdr:clientData/>
  </xdr:twoCellAnchor>
  <xdr:twoCellAnchor>
    <xdr:from>
      <xdr:col>2</xdr:col>
      <xdr:colOff>137160</xdr:colOff>
      <xdr:row>1</xdr:row>
      <xdr:rowOff>160020</xdr:rowOff>
    </xdr:from>
    <xdr:to>
      <xdr:col>7</xdr:col>
      <xdr:colOff>76200</xdr:colOff>
      <xdr:row>3</xdr:row>
      <xdr:rowOff>160020</xdr:rowOff>
    </xdr:to>
    <xdr:sp macro="" textlink="">
      <xdr:nvSpPr>
        <xdr:cNvPr id="6" name="TextBox 5">
          <a:extLst>
            <a:ext uri="{FF2B5EF4-FFF2-40B4-BE49-F238E27FC236}">
              <a16:creationId xmlns:a16="http://schemas.microsoft.com/office/drawing/2014/main" id="{A19A3007-1276-490B-B860-EC33DA5E54E5}"/>
            </a:ext>
          </a:extLst>
        </xdr:cNvPr>
        <xdr:cNvSpPr txBox="1"/>
      </xdr:nvSpPr>
      <xdr:spPr>
        <a:xfrm>
          <a:off x="1356360" y="327660"/>
          <a:ext cx="55016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500">
              <a:solidFill>
                <a:srgbClr val="00B050"/>
              </a:solidFill>
            </a:rPr>
            <a:t>National Electoral</a:t>
          </a:r>
          <a:r>
            <a:rPr lang="en-US" sz="1500" baseline="0">
              <a:solidFill>
                <a:srgbClr val="00B050"/>
              </a:solidFill>
            </a:rPr>
            <a:t> Commission</a:t>
          </a:r>
          <a:endParaRPr lang="en-NG" sz="1500">
            <a:solidFill>
              <a:srgbClr val="00B050"/>
            </a:solidFill>
          </a:endParaRPr>
        </a:p>
      </xdr:txBody>
    </xdr:sp>
    <xdr:clientData/>
  </xdr:twoCellAnchor>
  <xdr:twoCellAnchor>
    <xdr:from>
      <xdr:col>5</xdr:col>
      <xdr:colOff>114300</xdr:colOff>
      <xdr:row>6</xdr:row>
      <xdr:rowOff>116205</xdr:rowOff>
    </xdr:from>
    <xdr:to>
      <xdr:col>10</xdr:col>
      <xdr:colOff>171450</xdr:colOff>
      <xdr:row>8</xdr:row>
      <xdr:rowOff>123825</xdr:rowOff>
    </xdr:to>
    <xdr:sp macro="" textlink="">
      <xdr:nvSpPr>
        <xdr:cNvPr id="7" name="TextBox 6">
          <a:extLst>
            <a:ext uri="{FF2B5EF4-FFF2-40B4-BE49-F238E27FC236}">
              <a16:creationId xmlns:a16="http://schemas.microsoft.com/office/drawing/2014/main" id="{F2E6DBE4-28C7-4A04-AA89-41DB55F05756}"/>
            </a:ext>
          </a:extLst>
        </xdr:cNvPr>
        <xdr:cNvSpPr txBox="1"/>
      </xdr:nvSpPr>
      <xdr:spPr>
        <a:xfrm>
          <a:off x="3886200" y="1144905"/>
          <a:ext cx="78105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a:solidFill>
                <a:schemeClr val="bg1"/>
              </a:solidFill>
            </a:rPr>
            <a:t>Interactive analysis of voter participation and party performance across polling units.</a:t>
          </a:r>
          <a:endParaRPr lang="en-NG" sz="1600">
            <a:solidFill>
              <a:schemeClr val="bg1"/>
            </a:solidFill>
          </a:endParaRPr>
        </a:p>
      </xdr:txBody>
    </xdr:sp>
    <xdr:clientData/>
  </xdr:twoCellAnchor>
  <xdr:twoCellAnchor>
    <xdr:from>
      <xdr:col>0</xdr:col>
      <xdr:colOff>0</xdr:colOff>
      <xdr:row>36</xdr:row>
      <xdr:rowOff>107949</xdr:rowOff>
    </xdr:from>
    <xdr:to>
      <xdr:col>17</xdr:col>
      <xdr:colOff>0</xdr:colOff>
      <xdr:row>38</xdr:row>
      <xdr:rowOff>66728</xdr:rowOff>
    </xdr:to>
    <xdr:sp macro="" textlink="">
      <xdr:nvSpPr>
        <xdr:cNvPr id="16" name="Rectangle 15">
          <a:extLst>
            <a:ext uri="{FF2B5EF4-FFF2-40B4-BE49-F238E27FC236}">
              <a16:creationId xmlns:a16="http://schemas.microsoft.com/office/drawing/2014/main" id="{FB674C06-3F1F-4007-8A46-42AF57C1D8E7}"/>
            </a:ext>
          </a:extLst>
        </xdr:cNvPr>
        <xdr:cNvSpPr/>
      </xdr:nvSpPr>
      <xdr:spPr>
        <a:xfrm rot="16200000">
          <a:off x="8050185" y="-1770036"/>
          <a:ext cx="301679" cy="16402050"/>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0</xdr:colOff>
      <xdr:row>72</xdr:row>
      <xdr:rowOff>157129</xdr:rowOff>
    </xdr:from>
    <xdr:to>
      <xdr:col>17</xdr:col>
      <xdr:colOff>0</xdr:colOff>
      <xdr:row>74</xdr:row>
      <xdr:rowOff>115908</xdr:rowOff>
    </xdr:to>
    <xdr:sp macro="" textlink="">
      <xdr:nvSpPr>
        <xdr:cNvPr id="26" name="Rectangle 25">
          <a:extLst>
            <a:ext uri="{FF2B5EF4-FFF2-40B4-BE49-F238E27FC236}">
              <a16:creationId xmlns:a16="http://schemas.microsoft.com/office/drawing/2014/main" id="{30C50545-D20E-4E45-88C4-91400471B3B1}"/>
            </a:ext>
          </a:extLst>
        </xdr:cNvPr>
        <xdr:cNvSpPr/>
      </xdr:nvSpPr>
      <xdr:spPr>
        <a:xfrm rot="16200000">
          <a:off x="8055900" y="4171309"/>
          <a:ext cx="294059" cy="16405860"/>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1028700</xdr:colOff>
      <xdr:row>3</xdr:row>
      <xdr:rowOff>78105</xdr:rowOff>
    </xdr:from>
    <xdr:to>
      <xdr:col>10</xdr:col>
      <xdr:colOff>1019176</xdr:colOff>
      <xdr:row>7</xdr:row>
      <xdr:rowOff>0</xdr:rowOff>
    </xdr:to>
    <xdr:sp macro="" textlink="">
      <xdr:nvSpPr>
        <xdr:cNvPr id="33" name="TextBox 32">
          <a:extLst>
            <a:ext uri="{FF2B5EF4-FFF2-40B4-BE49-F238E27FC236}">
              <a16:creationId xmlns:a16="http://schemas.microsoft.com/office/drawing/2014/main" id="{3CFA85DC-17F2-EA9D-0D88-C795CF78F82D}"/>
            </a:ext>
          </a:extLst>
        </xdr:cNvPr>
        <xdr:cNvSpPr txBox="1"/>
      </xdr:nvSpPr>
      <xdr:spPr>
        <a:xfrm>
          <a:off x="3467100" y="592455"/>
          <a:ext cx="9077326" cy="607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000" b="1">
              <a:solidFill>
                <a:schemeClr val="bg1"/>
              </a:solidFill>
            </a:rPr>
            <a:t>National Election Results Overview</a:t>
          </a:r>
        </a:p>
      </xdr:txBody>
    </xdr:sp>
    <xdr:clientData/>
  </xdr:twoCellAnchor>
  <xdr:twoCellAnchor>
    <xdr:from>
      <xdr:col>13</xdr:col>
      <xdr:colOff>200025</xdr:colOff>
      <xdr:row>4</xdr:row>
      <xdr:rowOff>66674</xdr:rowOff>
    </xdr:from>
    <xdr:to>
      <xdr:col>16</xdr:col>
      <xdr:colOff>209550</xdr:colOff>
      <xdr:row>8</xdr:row>
      <xdr:rowOff>38099</xdr:rowOff>
    </xdr:to>
    <xdr:sp macro="[0]!LaunchDashboard" textlink="">
      <xdr:nvSpPr>
        <xdr:cNvPr id="35" name="Rectangle: Rounded Corners 34">
          <a:extLst>
            <a:ext uri="{FF2B5EF4-FFF2-40B4-BE49-F238E27FC236}">
              <a16:creationId xmlns:a16="http://schemas.microsoft.com/office/drawing/2014/main" id="{FB5C3846-10A8-B8AA-35F8-C46A02D1B858}"/>
            </a:ext>
          </a:extLst>
        </xdr:cNvPr>
        <xdr:cNvSpPr/>
      </xdr:nvSpPr>
      <xdr:spPr>
        <a:xfrm>
          <a:off x="14163675" y="752474"/>
          <a:ext cx="1838325" cy="657225"/>
        </a:xfrm>
        <a:prstGeom prst="roundRect">
          <a:avLst>
            <a:gd name="adj" fmla="val 40843"/>
          </a:avLst>
        </a:prstGeom>
        <a:solidFill>
          <a:schemeClr val="bg1"/>
        </a:solidFill>
        <a:ln>
          <a:noFill/>
        </a:ln>
        <a:effectLst>
          <a:outerShdw blurRad="50800" dist="38100" algn="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NG" sz="1200" b="1">
              <a:solidFill>
                <a:schemeClr val="accent4"/>
              </a:solidFill>
            </a:rPr>
            <a:t>VIEW INTERACTIVE DASHBOARD</a:t>
          </a:r>
        </a:p>
      </xdr:txBody>
    </xdr:sp>
    <xdr:clientData/>
  </xdr:twoCellAnchor>
  <xdr:twoCellAnchor editAs="oneCell">
    <xdr:from>
      <xdr:col>12</xdr:col>
      <xdr:colOff>228601</xdr:colOff>
      <xdr:row>5</xdr:row>
      <xdr:rowOff>1</xdr:rowOff>
    </xdr:from>
    <xdr:to>
      <xdr:col>13</xdr:col>
      <xdr:colOff>47625</xdr:colOff>
      <xdr:row>7</xdr:row>
      <xdr:rowOff>85725</xdr:rowOff>
    </xdr:to>
    <xdr:pic>
      <xdr:nvPicPr>
        <xdr:cNvPr id="9" name="Picture 8">
          <a:extLst>
            <a:ext uri="{FF2B5EF4-FFF2-40B4-BE49-F238E27FC236}">
              <a16:creationId xmlns:a16="http://schemas.microsoft.com/office/drawing/2014/main" id="{48784AC6-0D1B-38BB-934C-BFBE081FA73A}"/>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rot="16200000">
          <a:off x="13582651" y="857251"/>
          <a:ext cx="428624" cy="428624"/>
        </a:xfrm>
        <a:prstGeom prst="rect">
          <a:avLst/>
        </a:prstGeom>
      </xdr:spPr>
    </xdr:pic>
    <xdr:clientData/>
  </xdr:twoCellAnchor>
  <xdr:twoCellAnchor>
    <xdr:from>
      <xdr:col>0</xdr:col>
      <xdr:colOff>276225</xdr:colOff>
      <xdr:row>9</xdr:row>
      <xdr:rowOff>19050</xdr:rowOff>
    </xdr:from>
    <xdr:to>
      <xdr:col>16</xdr:col>
      <xdr:colOff>304800</xdr:colOff>
      <xdr:row>35</xdr:row>
      <xdr:rowOff>85725</xdr:rowOff>
    </xdr:to>
    <xdr:sp macro="" textlink="">
      <xdr:nvSpPr>
        <xdr:cNvPr id="11" name="Rectangle: Rounded Corners 10">
          <a:extLst>
            <a:ext uri="{FF2B5EF4-FFF2-40B4-BE49-F238E27FC236}">
              <a16:creationId xmlns:a16="http://schemas.microsoft.com/office/drawing/2014/main" id="{549C2BEF-240E-404D-93E2-91905D32B23A}"/>
            </a:ext>
          </a:extLst>
        </xdr:cNvPr>
        <xdr:cNvSpPr/>
      </xdr:nvSpPr>
      <xdr:spPr>
        <a:xfrm>
          <a:off x="276225" y="1562100"/>
          <a:ext cx="15821025" cy="4524375"/>
        </a:xfrm>
        <a:prstGeom prst="roundRect">
          <a:avLst/>
        </a:prstGeom>
        <a:noFill/>
        <a:ln w="28575">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1333501</xdr:colOff>
      <xdr:row>8</xdr:row>
      <xdr:rowOff>114301</xdr:rowOff>
    </xdr:from>
    <xdr:to>
      <xdr:col>9</xdr:col>
      <xdr:colOff>771525</xdr:colOff>
      <xdr:row>12</xdr:row>
      <xdr:rowOff>19051</xdr:rowOff>
    </xdr:to>
    <xdr:sp macro="" textlink="">
      <xdr:nvSpPr>
        <xdr:cNvPr id="12" name="TextBox 11">
          <a:extLst>
            <a:ext uri="{FF2B5EF4-FFF2-40B4-BE49-F238E27FC236}">
              <a16:creationId xmlns:a16="http://schemas.microsoft.com/office/drawing/2014/main" id="{BF3DB5FA-1EE1-5ECD-4296-0B6234757FD4}"/>
            </a:ext>
          </a:extLst>
        </xdr:cNvPr>
        <xdr:cNvSpPr txBox="1"/>
      </xdr:nvSpPr>
      <xdr:spPr>
        <a:xfrm>
          <a:off x="5105401" y="1485901"/>
          <a:ext cx="5972174"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G" sz="3600" b="1">
              <a:solidFill>
                <a:schemeClr val="bg2">
                  <a:lumMod val="50000"/>
                </a:schemeClr>
              </a:solidFill>
            </a:rPr>
            <a:t>About INEC &amp; The Dataset</a:t>
          </a:r>
        </a:p>
      </xdr:txBody>
    </xdr:sp>
    <xdr:clientData/>
  </xdr:twoCellAnchor>
  <xdr:twoCellAnchor>
    <xdr:from>
      <xdr:col>0</xdr:col>
      <xdr:colOff>476251</xdr:colOff>
      <xdr:row>11</xdr:row>
      <xdr:rowOff>152401</xdr:rowOff>
    </xdr:from>
    <xdr:to>
      <xdr:col>16</xdr:col>
      <xdr:colOff>28575</xdr:colOff>
      <xdr:row>19</xdr:row>
      <xdr:rowOff>161925</xdr:rowOff>
    </xdr:to>
    <xdr:sp macro="" textlink="">
      <xdr:nvSpPr>
        <xdr:cNvPr id="13" name="TextBox 12">
          <a:extLst>
            <a:ext uri="{FF2B5EF4-FFF2-40B4-BE49-F238E27FC236}">
              <a16:creationId xmlns:a16="http://schemas.microsoft.com/office/drawing/2014/main" id="{3606FA3B-0B3C-2FCC-B5DE-59093628F89A}"/>
            </a:ext>
          </a:extLst>
        </xdr:cNvPr>
        <xdr:cNvSpPr txBox="1"/>
      </xdr:nvSpPr>
      <xdr:spPr>
        <a:xfrm>
          <a:off x="476251" y="2038351"/>
          <a:ext cx="15344774" cy="1381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4"/>
              </a:solidFill>
            </a:rPr>
            <a:t>The Institutional Framework</a:t>
          </a:r>
        </a:p>
        <a:p>
          <a:endParaRPr lang="en-US" sz="1600" b="1">
            <a:solidFill>
              <a:schemeClr val="accent4"/>
            </a:solidFill>
          </a:endParaRPr>
        </a:p>
        <a:p>
          <a:r>
            <a:rPr lang="en-US" sz="1600" b="0">
              <a:solidFill>
                <a:schemeClr val="accent4"/>
              </a:solidFill>
            </a:rPr>
            <a:t>The Independent National Electoral Commission (INEC) serves as the foundational guardian of democracy, mandated to oversee, organize, and execute free, fair, and credible elections across the federation. Ensuring the integrity of the electoral process requires absolute transparency and rigorous operational standards at every level of governance, from urban centers to remote wards.</a:t>
          </a:r>
        </a:p>
      </xdr:txBody>
    </xdr:sp>
    <xdr:clientData/>
  </xdr:twoCellAnchor>
  <xdr:twoCellAnchor>
    <xdr:from>
      <xdr:col>0</xdr:col>
      <xdr:colOff>476251</xdr:colOff>
      <xdr:row>21</xdr:row>
      <xdr:rowOff>76201</xdr:rowOff>
    </xdr:from>
    <xdr:to>
      <xdr:col>16</xdr:col>
      <xdr:colOff>28575</xdr:colOff>
      <xdr:row>29</xdr:row>
      <xdr:rowOff>85725</xdr:rowOff>
    </xdr:to>
    <xdr:sp macro="" textlink="">
      <xdr:nvSpPr>
        <xdr:cNvPr id="14" name="TextBox 13">
          <a:extLst>
            <a:ext uri="{FF2B5EF4-FFF2-40B4-BE49-F238E27FC236}">
              <a16:creationId xmlns:a16="http://schemas.microsoft.com/office/drawing/2014/main" id="{EA3BCB6A-6107-561E-0561-DC11BBC074B0}"/>
            </a:ext>
          </a:extLst>
        </xdr:cNvPr>
        <xdr:cNvSpPr txBox="1"/>
      </xdr:nvSpPr>
      <xdr:spPr>
        <a:xfrm>
          <a:off x="476251" y="3676651"/>
          <a:ext cx="15344774" cy="1381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4"/>
              </a:solidFill>
            </a:rPr>
            <a:t>The Analytical Overlay</a:t>
          </a:r>
        </a:p>
        <a:p>
          <a:endParaRPr lang="en-US" sz="1600" b="1">
            <a:solidFill>
              <a:schemeClr val="accent4"/>
            </a:solidFill>
          </a:endParaRPr>
        </a:p>
        <a:p>
          <a:r>
            <a:rPr lang="en-US" sz="1600" b="0">
              <a:solidFill>
                <a:schemeClr val="accent4"/>
              </a:solidFill>
            </a:rPr>
            <a:t>This specialized platform serves as an advanced analytical overlay to those official efforts. By extracting, processing, and aggregating raw polling unit returns, it translates massive streams of localized data into actionable, executive-level geographic metrics and competitive insights—effectively bridging the gap between field-level documentation and strategic, data-driven oversight.</a:t>
          </a:r>
        </a:p>
      </xdr:txBody>
    </xdr:sp>
    <xdr:clientData/>
  </xdr:twoCellAnchor>
  <xdr:twoCellAnchor>
    <xdr:from>
      <xdr:col>9</xdr:col>
      <xdr:colOff>885825</xdr:colOff>
      <xdr:row>0</xdr:row>
      <xdr:rowOff>161925</xdr:rowOff>
    </xdr:from>
    <xdr:to>
      <xdr:col>10</xdr:col>
      <xdr:colOff>635983</xdr:colOff>
      <xdr:row>2</xdr:row>
      <xdr:rowOff>165389</xdr:rowOff>
    </xdr:to>
    <xdr:sp macro="" textlink="">
      <xdr:nvSpPr>
        <xdr:cNvPr id="15" name="TextBox 14">
          <a:extLst>
            <a:ext uri="{FF2B5EF4-FFF2-40B4-BE49-F238E27FC236}">
              <a16:creationId xmlns:a16="http://schemas.microsoft.com/office/drawing/2014/main" id="{A520CE44-9278-41D2-AD37-51D4C326646E}"/>
            </a:ext>
          </a:extLst>
        </xdr:cNvPr>
        <xdr:cNvSpPr txBox="1"/>
      </xdr:nvSpPr>
      <xdr:spPr>
        <a:xfrm>
          <a:off x="11191875" y="161925"/>
          <a:ext cx="969358"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600" b="1">
              <a:solidFill>
                <a:schemeClr val="bg2">
                  <a:lumMod val="50000"/>
                </a:schemeClr>
              </a:solidFill>
            </a:rPr>
            <a:t>Home</a:t>
          </a:r>
          <a:endParaRPr lang="en-NG" sz="1600" b="1">
            <a:solidFill>
              <a:schemeClr val="bg2">
                <a:lumMod val="50000"/>
              </a:schemeClr>
            </a:solidFill>
          </a:endParaRPr>
        </a:p>
      </xdr:txBody>
    </xdr:sp>
    <xdr:clientData/>
  </xdr:twoCellAnchor>
  <xdr:twoCellAnchor>
    <xdr:from>
      <xdr:col>11</xdr:col>
      <xdr:colOff>227043</xdr:colOff>
      <xdr:row>0</xdr:row>
      <xdr:rowOff>161925</xdr:rowOff>
    </xdr:from>
    <xdr:to>
      <xdr:col>12</xdr:col>
      <xdr:colOff>602733</xdr:colOff>
      <xdr:row>2</xdr:row>
      <xdr:rowOff>165389</xdr:rowOff>
    </xdr:to>
    <xdr:sp macro="" textlink="">
      <xdr:nvSpPr>
        <xdr:cNvPr id="17" name="TextBox 16">
          <a:hlinkClick xmlns:r="http://schemas.openxmlformats.org/officeDocument/2006/relationships" r:id="rId3"/>
          <a:extLst>
            <a:ext uri="{FF2B5EF4-FFF2-40B4-BE49-F238E27FC236}">
              <a16:creationId xmlns:a16="http://schemas.microsoft.com/office/drawing/2014/main" id="{9262F604-1EFF-473B-8B5A-ADF6BB49A1EB}"/>
            </a:ext>
          </a:extLst>
        </xdr:cNvPr>
        <xdr:cNvSpPr txBox="1"/>
      </xdr:nvSpPr>
      <xdr:spPr>
        <a:xfrm>
          <a:off x="12971493" y="161925"/>
          <a:ext cx="985290"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Insights</a:t>
          </a:r>
          <a:endParaRPr lang="en-NG" sz="1600" b="1">
            <a:solidFill>
              <a:srgbClr val="00B050"/>
            </a:solidFill>
          </a:endParaRPr>
        </a:p>
      </xdr:txBody>
    </xdr:sp>
    <xdr:clientData/>
  </xdr:twoCellAnchor>
  <xdr:twoCellAnchor>
    <xdr:from>
      <xdr:col>14</xdr:col>
      <xdr:colOff>173704</xdr:colOff>
      <xdr:row>0</xdr:row>
      <xdr:rowOff>161925</xdr:rowOff>
    </xdr:from>
    <xdr:to>
      <xdr:col>16</xdr:col>
      <xdr:colOff>285002</xdr:colOff>
      <xdr:row>2</xdr:row>
      <xdr:rowOff>165389</xdr:rowOff>
    </xdr:to>
    <xdr:sp macro="" textlink="">
      <xdr:nvSpPr>
        <xdr:cNvPr id="18" name="TextBox 17">
          <a:hlinkClick xmlns:r="http://schemas.openxmlformats.org/officeDocument/2006/relationships" r:id="rId4"/>
          <a:extLst>
            <a:ext uri="{FF2B5EF4-FFF2-40B4-BE49-F238E27FC236}">
              <a16:creationId xmlns:a16="http://schemas.microsoft.com/office/drawing/2014/main" id="{F3CC14C9-AD15-4B60-A4E6-BB0CC6C2E32A}"/>
            </a:ext>
          </a:extLst>
        </xdr:cNvPr>
        <xdr:cNvSpPr txBox="1"/>
      </xdr:nvSpPr>
      <xdr:spPr>
        <a:xfrm>
          <a:off x="14746954" y="161925"/>
          <a:ext cx="1330498"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Contact Us</a:t>
          </a:r>
          <a:endParaRPr lang="en-NG" sz="1600" b="1">
            <a:solidFill>
              <a:srgbClr val="00B050"/>
            </a:solidFill>
          </a:endParaRPr>
        </a:p>
      </xdr:txBody>
    </xdr:sp>
    <xdr:clientData/>
  </xdr:twoCellAnchor>
  <xdr:twoCellAnchor editAs="oneCell">
    <xdr:from>
      <xdr:col>9</xdr:col>
      <xdr:colOff>923925</xdr:colOff>
      <xdr:row>1</xdr:row>
      <xdr:rowOff>40120</xdr:rowOff>
    </xdr:from>
    <xdr:to>
      <xdr:col>9</xdr:col>
      <xdr:colOff>1152528</xdr:colOff>
      <xdr:row>2</xdr:row>
      <xdr:rowOff>97273</xdr:rowOff>
    </xdr:to>
    <xdr:pic>
      <xdr:nvPicPr>
        <xdr:cNvPr id="19" name="Picture 18">
          <a:extLst>
            <a:ext uri="{FF2B5EF4-FFF2-40B4-BE49-F238E27FC236}">
              <a16:creationId xmlns:a16="http://schemas.microsoft.com/office/drawing/2014/main" id="{1E6C56A1-D526-4014-8291-BB8A1CCEAF6B}"/>
            </a:ext>
          </a:extLst>
        </xdr:cNvPr>
        <xdr:cNvPicPr>
          <a:picLocks noChangeAspect="1"/>
        </xdr:cNvPicPr>
      </xdr:nvPicPr>
      <xdr:blipFill>
        <a:blip xmlns:r="http://schemas.openxmlformats.org/officeDocument/2006/relationships" r:embed="rId5"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1229975" y="211570"/>
          <a:ext cx="228603" cy="228603"/>
        </a:xfrm>
        <a:prstGeom prst="rect">
          <a:avLst/>
        </a:prstGeom>
      </xdr:spPr>
    </xdr:pic>
    <xdr:clientData/>
  </xdr:twoCellAnchor>
  <xdr:twoCellAnchor editAs="oneCell">
    <xdr:from>
      <xdr:col>14</xdr:col>
      <xdr:colOff>30260</xdr:colOff>
      <xdr:row>1</xdr:row>
      <xdr:rowOff>44161</xdr:rowOff>
    </xdr:from>
    <xdr:to>
      <xdr:col>14</xdr:col>
      <xdr:colOff>219076</xdr:colOff>
      <xdr:row>2</xdr:row>
      <xdr:rowOff>103043</xdr:rowOff>
    </xdr:to>
    <xdr:pic>
      <xdr:nvPicPr>
        <xdr:cNvPr id="20" name="Picture 19">
          <a:extLst>
            <a:ext uri="{FF2B5EF4-FFF2-40B4-BE49-F238E27FC236}">
              <a16:creationId xmlns:a16="http://schemas.microsoft.com/office/drawing/2014/main" id="{D722E5D4-88EE-446E-BB4A-38780B832E7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603510" y="215611"/>
          <a:ext cx="188816" cy="230332"/>
        </a:xfrm>
        <a:prstGeom prst="rect">
          <a:avLst/>
        </a:prstGeom>
      </xdr:spPr>
    </xdr:pic>
    <xdr:clientData/>
  </xdr:twoCellAnchor>
  <xdr:twoCellAnchor editAs="oneCell">
    <xdr:from>
      <xdr:col>11</xdr:col>
      <xdr:colOff>55709</xdr:colOff>
      <xdr:row>0</xdr:row>
      <xdr:rowOff>161927</xdr:rowOff>
    </xdr:from>
    <xdr:to>
      <xdr:col>11</xdr:col>
      <xdr:colOff>332799</xdr:colOff>
      <xdr:row>2</xdr:row>
      <xdr:rowOff>96117</xdr:rowOff>
    </xdr:to>
    <xdr:pic>
      <xdr:nvPicPr>
        <xdr:cNvPr id="21" name="Picture 20">
          <a:extLst>
            <a:ext uri="{FF2B5EF4-FFF2-40B4-BE49-F238E27FC236}">
              <a16:creationId xmlns:a16="http://schemas.microsoft.com/office/drawing/2014/main" id="{AAF595F3-80BE-4FA7-829B-F42D23EDE697}"/>
            </a:ext>
          </a:extLst>
        </xdr:cNvPr>
        <xdr:cNvPicPr>
          <a:picLocks noChangeAspect="1"/>
        </xdr:cNvPicPr>
      </xdr:nvPicPr>
      <xdr:blipFill>
        <a:blip xmlns:r="http://schemas.openxmlformats.org/officeDocument/2006/relationships" r:embed="rId7" cstate="print">
          <a:duotone>
            <a:prstClr val="black"/>
            <a:schemeClr val="accent4">
              <a:tint val="45000"/>
              <a:satMod val="400000"/>
            </a:schemeClr>
          </a:duotone>
          <a:extLst>
            <a:ext uri="{28A0092B-C50C-407E-A947-70E740481C1C}">
              <a14:useLocalDpi xmlns:a14="http://schemas.microsoft.com/office/drawing/2010/main" val="0"/>
            </a:ext>
          </a:extLst>
        </a:blip>
        <a:stretch>
          <a:fillRect/>
        </a:stretch>
      </xdr:blipFill>
      <xdr:spPr>
        <a:xfrm>
          <a:off x="12800159" y="161927"/>
          <a:ext cx="277090" cy="2770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279400</xdr:colOff>
      <xdr:row>53</xdr:row>
      <xdr:rowOff>82061</xdr:rowOff>
    </xdr:from>
    <xdr:to>
      <xdr:col>23</xdr:col>
      <xdr:colOff>0</xdr:colOff>
      <xdr:row>54</xdr:row>
      <xdr:rowOff>152400</xdr:rowOff>
    </xdr:to>
    <xdr:sp macro="" textlink="">
      <xdr:nvSpPr>
        <xdr:cNvPr id="62" name="Rectangle 61">
          <a:extLst>
            <a:ext uri="{FF2B5EF4-FFF2-40B4-BE49-F238E27FC236}">
              <a16:creationId xmlns:a16="http://schemas.microsoft.com/office/drawing/2014/main" id="{2AD38B12-E594-3AAF-E819-1A2B8A4FFDCB}"/>
            </a:ext>
          </a:extLst>
        </xdr:cNvPr>
        <xdr:cNvSpPr/>
      </xdr:nvSpPr>
      <xdr:spPr>
        <a:xfrm rot="16200000">
          <a:off x="7642469" y="2636715"/>
          <a:ext cx="234462" cy="12522200"/>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0</xdr:colOff>
      <xdr:row>3</xdr:row>
      <xdr:rowOff>0</xdr:rowOff>
    </xdr:from>
    <xdr:to>
      <xdr:col>23</xdr:col>
      <xdr:colOff>0</xdr:colOff>
      <xdr:row>10</xdr:row>
      <xdr:rowOff>60960</xdr:rowOff>
    </xdr:to>
    <xdr:sp macro="" textlink="">
      <xdr:nvSpPr>
        <xdr:cNvPr id="24" name="Rectangle 23">
          <a:extLst>
            <a:ext uri="{FF2B5EF4-FFF2-40B4-BE49-F238E27FC236}">
              <a16:creationId xmlns:a16="http://schemas.microsoft.com/office/drawing/2014/main" id="{ACB23CF8-8597-93B5-0FAF-57911630E676}"/>
            </a:ext>
          </a:extLst>
        </xdr:cNvPr>
        <xdr:cNvSpPr/>
      </xdr:nvSpPr>
      <xdr:spPr>
        <a:xfrm>
          <a:off x="0" y="502920"/>
          <a:ext cx="14020800" cy="1234440"/>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15240</xdr:colOff>
      <xdr:row>0</xdr:row>
      <xdr:rowOff>15240</xdr:rowOff>
    </xdr:from>
    <xdr:to>
      <xdr:col>23</xdr:col>
      <xdr:colOff>0</xdr:colOff>
      <xdr:row>3</xdr:row>
      <xdr:rowOff>152400</xdr:rowOff>
    </xdr:to>
    <xdr:sp macro="" textlink="">
      <xdr:nvSpPr>
        <xdr:cNvPr id="2" name="Rectangle 1">
          <a:extLst>
            <a:ext uri="{FF2B5EF4-FFF2-40B4-BE49-F238E27FC236}">
              <a16:creationId xmlns:a16="http://schemas.microsoft.com/office/drawing/2014/main" id="{437BC436-78A2-8C28-4253-E7A2ED91BAE6}"/>
            </a:ext>
          </a:extLst>
        </xdr:cNvPr>
        <xdr:cNvSpPr/>
      </xdr:nvSpPr>
      <xdr:spPr>
        <a:xfrm>
          <a:off x="15240" y="15240"/>
          <a:ext cx="14005560" cy="640080"/>
        </a:xfrm>
        <a:prstGeom prst="rect">
          <a:avLst/>
        </a:prstGeom>
        <a:solidFill>
          <a:schemeClr val="bg2">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251460</xdr:colOff>
      <xdr:row>0</xdr:row>
      <xdr:rowOff>7620</xdr:rowOff>
    </xdr:from>
    <xdr:to>
      <xdr:col>2</xdr:col>
      <xdr:colOff>137160</xdr:colOff>
      <xdr:row>3</xdr:row>
      <xdr:rowOff>141514</xdr:rowOff>
    </xdr:to>
    <xdr:pic>
      <xdr:nvPicPr>
        <xdr:cNvPr id="4" name="Picture 3">
          <a:extLst>
            <a:ext uri="{FF2B5EF4-FFF2-40B4-BE49-F238E27FC236}">
              <a16:creationId xmlns:a16="http://schemas.microsoft.com/office/drawing/2014/main" id="{08AF6731-CDB0-8A96-E57A-860F132D789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234" r="25155"/>
        <a:stretch>
          <a:fillRect/>
        </a:stretch>
      </xdr:blipFill>
      <xdr:spPr>
        <a:xfrm>
          <a:off x="861060" y="7620"/>
          <a:ext cx="495300" cy="636814"/>
        </a:xfrm>
        <a:prstGeom prst="rect">
          <a:avLst/>
        </a:prstGeom>
      </xdr:spPr>
    </xdr:pic>
    <xdr:clientData/>
  </xdr:twoCellAnchor>
  <xdr:twoCellAnchor>
    <xdr:from>
      <xdr:col>2</xdr:col>
      <xdr:colOff>129540</xdr:colOff>
      <xdr:row>0</xdr:row>
      <xdr:rowOff>76200</xdr:rowOff>
    </xdr:from>
    <xdr:to>
      <xdr:col>6</xdr:col>
      <xdr:colOff>518160</xdr:colOff>
      <xdr:row>2</xdr:row>
      <xdr:rowOff>76200</xdr:rowOff>
    </xdr:to>
    <xdr:sp macro="" textlink="">
      <xdr:nvSpPr>
        <xdr:cNvPr id="5" name="TextBox 4">
          <a:extLst>
            <a:ext uri="{FF2B5EF4-FFF2-40B4-BE49-F238E27FC236}">
              <a16:creationId xmlns:a16="http://schemas.microsoft.com/office/drawing/2014/main" id="{3F2DFDA9-7F98-2156-89CE-9088A226E23B}"/>
            </a:ext>
          </a:extLst>
        </xdr:cNvPr>
        <xdr:cNvSpPr txBox="1"/>
      </xdr:nvSpPr>
      <xdr:spPr>
        <a:xfrm>
          <a:off x="1348740" y="76200"/>
          <a:ext cx="28270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800" b="1">
              <a:solidFill>
                <a:schemeClr val="bg2">
                  <a:lumMod val="65000"/>
                </a:schemeClr>
              </a:solidFill>
            </a:rPr>
            <a:t>INDEPENDENT</a:t>
          </a:r>
          <a:endParaRPr lang="en-NG" sz="2800" b="1">
            <a:solidFill>
              <a:schemeClr val="bg2">
                <a:lumMod val="65000"/>
              </a:schemeClr>
            </a:solidFill>
          </a:endParaRPr>
        </a:p>
      </xdr:txBody>
    </xdr:sp>
    <xdr:clientData/>
  </xdr:twoCellAnchor>
  <xdr:twoCellAnchor>
    <xdr:from>
      <xdr:col>2</xdr:col>
      <xdr:colOff>137160</xdr:colOff>
      <xdr:row>1</xdr:row>
      <xdr:rowOff>160020</xdr:rowOff>
    </xdr:from>
    <xdr:to>
      <xdr:col>7</xdr:col>
      <xdr:colOff>76200</xdr:colOff>
      <xdr:row>3</xdr:row>
      <xdr:rowOff>160020</xdr:rowOff>
    </xdr:to>
    <xdr:sp macro="" textlink="">
      <xdr:nvSpPr>
        <xdr:cNvPr id="6" name="TextBox 5">
          <a:extLst>
            <a:ext uri="{FF2B5EF4-FFF2-40B4-BE49-F238E27FC236}">
              <a16:creationId xmlns:a16="http://schemas.microsoft.com/office/drawing/2014/main" id="{9116289D-B429-327D-5692-FF47B26AFB35}"/>
            </a:ext>
          </a:extLst>
        </xdr:cNvPr>
        <xdr:cNvSpPr txBox="1"/>
      </xdr:nvSpPr>
      <xdr:spPr>
        <a:xfrm>
          <a:off x="1356360" y="327660"/>
          <a:ext cx="29870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500">
              <a:solidFill>
                <a:srgbClr val="00B050"/>
              </a:solidFill>
            </a:rPr>
            <a:t>National Electoral</a:t>
          </a:r>
          <a:r>
            <a:rPr lang="en-US" sz="1500" baseline="0">
              <a:solidFill>
                <a:srgbClr val="00B050"/>
              </a:solidFill>
            </a:rPr>
            <a:t> Commission</a:t>
          </a:r>
          <a:endParaRPr lang="en-NG" sz="1500">
            <a:solidFill>
              <a:srgbClr val="00B050"/>
            </a:solidFill>
          </a:endParaRPr>
        </a:p>
      </xdr:txBody>
    </xdr:sp>
    <xdr:clientData/>
  </xdr:twoCellAnchor>
  <xdr:twoCellAnchor>
    <xdr:from>
      <xdr:col>14</xdr:col>
      <xdr:colOff>259080</xdr:colOff>
      <xdr:row>1</xdr:row>
      <xdr:rowOff>106680</xdr:rowOff>
    </xdr:from>
    <xdr:to>
      <xdr:col>23</xdr:col>
      <xdr:colOff>0</xdr:colOff>
      <xdr:row>4</xdr:row>
      <xdr:rowOff>53340</xdr:rowOff>
    </xdr:to>
    <xdr:sp macro="" textlink="">
      <xdr:nvSpPr>
        <xdr:cNvPr id="7" name="TextBox 6">
          <a:extLst>
            <a:ext uri="{FF2B5EF4-FFF2-40B4-BE49-F238E27FC236}">
              <a16:creationId xmlns:a16="http://schemas.microsoft.com/office/drawing/2014/main" id="{85AEC954-2160-4473-39F7-304516484EEA}"/>
            </a:ext>
          </a:extLst>
        </xdr:cNvPr>
        <xdr:cNvSpPr txBox="1"/>
      </xdr:nvSpPr>
      <xdr:spPr>
        <a:xfrm>
          <a:off x="8793480" y="274320"/>
          <a:ext cx="5227320"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1">
              <a:solidFill>
                <a:srgbClr val="00B050"/>
              </a:solidFill>
            </a:rPr>
            <a:t>National Election Results Overview</a:t>
          </a:r>
        </a:p>
        <a:p>
          <a:pPr algn="l"/>
          <a:r>
            <a:rPr lang="en-US" sz="1050">
              <a:solidFill>
                <a:srgbClr val="00B050"/>
              </a:solidFill>
            </a:rPr>
            <a:t>Interactive analysis of voter participation and party performance across polling units.</a:t>
          </a:r>
          <a:endParaRPr lang="en-NG" sz="1050">
            <a:solidFill>
              <a:srgbClr val="00B050"/>
            </a:solidFill>
          </a:endParaRPr>
        </a:p>
      </xdr:txBody>
    </xdr:sp>
    <xdr:clientData/>
  </xdr:twoCellAnchor>
  <xdr:twoCellAnchor>
    <xdr:from>
      <xdr:col>14</xdr:col>
      <xdr:colOff>457200</xdr:colOff>
      <xdr:row>0</xdr:row>
      <xdr:rowOff>0</xdr:rowOff>
    </xdr:from>
    <xdr:to>
      <xdr:col>16</xdr:col>
      <xdr:colOff>7620</xdr:colOff>
      <xdr:row>2</xdr:row>
      <xdr:rowOff>0</xdr:rowOff>
    </xdr:to>
    <xdr:sp macro="" textlink="">
      <xdr:nvSpPr>
        <xdr:cNvPr id="8" name="TextBox 7">
          <a:hlinkClick xmlns:r="http://schemas.openxmlformats.org/officeDocument/2006/relationships" r:id="rId2"/>
          <a:extLst>
            <a:ext uri="{FF2B5EF4-FFF2-40B4-BE49-F238E27FC236}">
              <a16:creationId xmlns:a16="http://schemas.microsoft.com/office/drawing/2014/main" id="{DFAD318A-8084-A242-065E-EB2F0C543AF6}"/>
            </a:ext>
          </a:extLst>
        </xdr:cNvPr>
        <xdr:cNvSpPr txBox="1"/>
      </xdr:nvSpPr>
      <xdr:spPr>
        <a:xfrm>
          <a:off x="8991600" y="0"/>
          <a:ext cx="7696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Home</a:t>
          </a:r>
          <a:endParaRPr lang="en-NG" sz="1600" b="1">
            <a:solidFill>
              <a:srgbClr val="00B050"/>
            </a:solidFill>
          </a:endParaRPr>
        </a:p>
      </xdr:txBody>
    </xdr:sp>
    <xdr:clientData/>
  </xdr:twoCellAnchor>
  <xdr:twoCellAnchor>
    <xdr:from>
      <xdr:col>17</xdr:col>
      <xdr:colOff>205970</xdr:colOff>
      <xdr:row>0</xdr:row>
      <xdr:rowOff>0</xdr:rowOff>
    </xdr:from>
    <xdr:to>
      <xdr:col>18</xdr:col>
      <xdr:colOff>579351</xdr:colOff>
      <xdr:row>2</xdr:row>
      <xdr:rowOff>0</xdr:rowOff>
    </xdr:to>
    <xdr:sp macro="" textlink="">
      <xdr:nvSpPr>
        <xdr:cNvPr id="9" name="TextBox 8">
          <a:hlinkClick xmlns:r="http://schemas.openxmlformats.org/officeDocument/2006/relationships" r:id="rId3"/>
          <a:extLst>
            <a:ext uri="{FF2B5EF4-FFF2-40B4-BE49-F238E27FC236}">
              <a16:creationId xmlns:a16="http://schemas.microsoft.com/office/drawing/2014/main" id="{5C46617B-A2E1-2039-107B-D6C0D3E058AF}"/>
            </a:ext>
          </a:extLst>
        </xdr:cNvPr>
        <xdr:cNvSpPr txBox="1"/>
      </xdr:nvSpPr>
      <xdr:spPr>
        <a:xfrm>
          <a:off x="10608425" y="0"/>
          <a:ext cx="985290"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Insights</a:t>
          </a:r>
          <a:endParaRPr lang="en-NG" sz="1600" b="1">
            <a:solidFill>
              <a:srgbClr val="00B050"/>
            </a:solidFill>
          </a:endParaRPr>
        </a:p>
      </xdr:txBody>
    </xdr:sp>
    <xdr:clientData/>
  </xdr:twoCellAnchor>
  <xdr:twoCellAnchor>
    <xdr:from>
      <xdr:col>20</xdr:col>
      <xdr:colOff>145704</xdr:colOff>
      <xdr:row>0</xdr:row>
      <xdr:rowOff>0</xdr:rowOff>
    </xdr:from>
    <xdr:to>
      <xdr:col>22</xdr:col>
      <xdr:colOff>252384</xdr:colOff>
      <xdr:row>2</xdr:row>
      <xdr:rowOff>0</xdr:rowOff>
    </xdr:to>
    <xdr:sp macro="" textlink="">
      <xdr:nvSpPr>
        <xdr:cNvPr id="10" name="TextBox 9">
          <a:hlinkClick xmlns:r="http://schemas.openxmlformats.org/officeDocument/2006/relationships" r:id="rId4"/>
          <a:extLst>
            <a:ext uri="{FF2B5EF4-FFF2-40B4-BE49-F238E27FC236}">
              <a16:creationId xmlns:a16="http://schemas.microsoft.com/office/drawing/2014/main" id="{95C01964-09DC-32CD-A605-946BE8325E2A}"/>
            </a:ext>
          </a:extLst>
        </xdr:cNvPr>
        <xdr:cNvSpPr txBox="1"/>
      </xdr:nvSpPr>
      <xdr:spPr>
        <a:xfrm>
          <a:off x="12383886" y="0"/>
          <a:ext cx="1330498"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Contact Us</a:t>
          </a:r>
          <a:endParaRPr lang="en-NG" sz="1600" b="1">
            <a:solidFill>
              <a:srgbClr val="00B050"/>
            </a:solidFill>
          </a:endParaRPr>
        </a:p>
      </xdr:txBody>
    </xdr:sp>
    <xdr:clientData/>
  </xdr:twoCellAnchor>
  <xdr:twoCellAnchor>
    <xdr:from>
      <xdr:col>1</xdr:col>
      <xdr:colOff>541020</xdr:colOff>
      <xdr:row>5</xdr:row>
      <xdr:rowOff>60960</xdr:rowOff>
    </xdr:from>
    <xdr:to>
      <xdr:col>3</xdr:col>
      <xdr:colOff>388620</xdr:colOff>
      <xdr:row>10</xdr:row>
      <xdr:rowOff>22860</xdr:rowOff>
    </xdr:to>
    <xdr:sp macro="" textlink="Sheet7!B24">
      <xdr:nvSpPr>
        <xdr:cNvPr id="12" name="Rectangle: Rounded Corners 1">
          <a:extLst>
            <a:ext uri="{FF2B5EF4-FFF2-40B4-BE49-F238E27FC236}">
              <a16:creationId xmlns:a16="http://schemas.microsoft.com/office/drawing/2014/main" id="{DE2D979F-B03C-0876-B6CB-DCACA1E6B7D7}"/>
            </a:ext>
          </a:extLst>
        </xdr:cNvPr>
        <xdr:cNvSpPr/>
      </xdr:nvSpPr>
      <xdr:spPr>
        <a:xfrm>
          <a:off x="11506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C99B203-46D7-424F-A88D-38C86D646985}" type="TxLink">
            <a:rPr lang="en-US" sz="4000" b="1" i="0" u="none" strike="noStrike">
              <a:solidFill>
                <a:schemeClr val="accent4"/>
              </a:solidFill>
              <a:latin typeface="Arial"/>
              <a:cs typeface="Arial"/>
            </a:rPr>
            <a:pPr algn="ctr"/>
            <a:t>8</a:t>
          </a:fld>
          <a:endParaRPr lang="en-NG" sz="4000" b="1">
            <a:solidFill>
              <a:schemeClr val="accent4"/>
            </a:solidFill>
          </a:endParaRPr>
        </a:p>
      </xdr:txBody>
    </xdr:sp>
    <xdr:clientData/>
  </xdr:twoCellAnchor>
  <xdr:twoCellAnchor>
    <xdr:from>
      <xdr:col>4</xdr:col>
      <xdr:colOff>259080</xdr:colOff>
      <xdr:row>5</xdr:row>
      <xdr:rowOff>60960</xdr:rowOff>
    </xdr:from>
    <xdr:to>
      <xdr:col>6</xdr:col>
      <xdr:colOff>106680</xdr:colOff>
      <xdr:row>10</xdr:row>
      <xdr:rowOff>22860</xdr:rowOff>
    </xdr:to>
    <xdr:sp macro="" textlink="Sheet7!B28">
      <xdr:nvSpPr>
        <xdr:cNvPr id="16" name="Rectangle: Rounded Corners 2">
          <a:extLst>
            <a:ext uri="{FF2B5EF4-FFF2-40B4-BE49-F238E27FC236}">
              <a16:creationId xmlns:a16="http://schemas.microsoft.com/office/drawing/2014/main" id="{7207ABAE-38FC-68A4-8D72-D930EB7471F2}"/>
            </a:ext>
          </a:extLst>
        </xdr:cNvPr>
        <xdr:cNvSpPr/>
      </xdr:nvSpPr>
      <xdr:spPr>
        <a:xfrm>
          <a:off x="269748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7868EA5-DF04-4E3D-9D11-82FBA27E5EEA}" type="TxLink">
            <a:rPr lang="en-US" sz="4000" b="1" i="0" u="none" strike="noStrike">
              <a:solidFill>
                <a:srgbClr val="00B050"/>
              </a:solidFill>
              <a:latin typeface="Arial"/>
              <a:cs typeface="Arial"/>
            </a:rPr>
            <a:pPr algn="ctr"/>
            <a:t>1</a:t>
          </a:fld>
          <a:endParaRPr lang="en-NG" sz="4000" b="1">
            <a:solidFill>
              <a:srgbClr val="00B050"/>
            </a:solidFill>
          </a:endParaRPr>
        </a:p>
      </xdr:txBody>
    </xdr:sp>
    <xdr:clientData/>
  </xdr:twoCellAnchor>
  <xdr:twoCellAnchor>
    <xdr:from>
      <xdr:col>6</xdr:col>
      <xdr:colOff>579120</xdr:colOff>
      <xdr:row>5</xdr:row>
      <xdr:rowOff>60960</xdr:rowOff>
    </xdr:from>
    <xdr:to>
      <xdr:col>8</xdr:col>
      <xdr:colOff>426720</xdr:colOff>
      <xdr:row>10</xdr:row>
      <xdr:rowOff>22860</xdr:rowOff>
    </xdr:to>
    <xdr:sp macro="" textlink="Sheet7!B37">
      <xdr:nvSpPr>
        <xdr:cNvPr id="17" name="Rectangle: Rounded Corners 3">
          <a:extLst>
            <a:ext uri="{FF2B5EF4-FFF2-40B4-BE49-F238E27FC236}">
              <a16:creationId xmlns:a16="http://schemas.microsoft.com/office/drawing/2014/main" id="{18933312-2D17-6C4B-F738-FE0063800074}"/>
            </a:ext>
          </a:extLst>
        </xdr:cNvPr>
        <xdr:cNvSpPr/>
      </xdr:nvSpPr>
      <xdr:spPr>
        <a:xfrm>
          <a:off x="42367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BFEDD79-D728-4396-BA35-CBE75131D14E}" type="TxLink">
            <a:rPr lang="en-US" sz="3600" b="1" i="0" u="none" strike="noStrike">
              <a:solidFill>
                <a:srgbClr val="00B050"/>
              </a:solidFill>
              <a:latin typeface="Arial"/>
              <a:cs typeface="Arial"/>
            </a:rPr>
            <a:pPr algn="ctr"/>
            <a:t>97</a:t>
          </a:fld>
          <a:endParaRPr lang="en-NG" sz="3600" b="1">
            <a:solidFill>
              <a:srgbClr val="00B050"/>
            </a:solidFill>
          </a:endParaRPr>
        </a:p>
      </xdr:txBody>
    </xdr:sp>
    <xdr:clientData/>
  </xdr:twoCellAnchor>
  <xdr:twoCellAnchor>
    <xdr:from>
      <xdr:col>9</xdr:col>
      <xdr:colOff>274320</xdr:colOff>
      <xdr:row>5</xdr:row>
      <xdr:rowOff>60960</xdr:rowOff>
    </xdr:from>
    <xdr:to>
      <xdr:col>11</xdr:col>
      <xdr:colOff>121920</xdr:colOff>
      <xdr:row>10</xdr:row>
      <xdr:rowOff>22860</xdr:rowOff>
    </xdr:to>
    <xdr:sp macro="" textlink="Sheet7!B32">
      <xdr:nvSpPr>
        <xdr:cNvPr id="18" name="Rectangle: Rounded Corners 4">
          <a:extLst>
            <a:ext uri="{FF2B5EF4-FFF2-40B4-BE49-F238E27FC236}">
              <a16:creationId xmlns:a16="http://schemas.microsoft.com/office/drawing/2014/main" id="{C5675B42-7473-3DF5-61E4-3A2F87D1112F}"/>
            </a:ext>
          </a:extLst>
        </xdr:cNvPr>
        <xdr:cNvSpPr/>
      </xdr:nvSpPr>
      <xdr:spPr>
        <a:xfrm>
          <a:off x="57607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35EF1F8-ECDC-4177-9239-7718957F8BD4}" type="TxLink">
            <a:rPr lang="en-US" sz="1950" b="1" i="0" u="none" strike="noStrike">
              <a:solidFill>
                <a:srgbClr val="00B050"/>
              </a:solidFill>
              <a:latin typeface="Arial"/>
              <a:cs typeface="Arial"/>
            </a:rPr>
            <a:pPr algn="ctr"/>
            <a:t>108.4K</a:t>
          </a:fld>
          <a:endParaRPr lang="en-NG" sz="1950" b="1">
            <a:solidFill>
              <a:srgbClr val="00B050"/>
            </a:solidFill>
          </a:endParaRPr>
        </a:p>
      </xdr:txBody>
    </xdr:sp>
    <xdr:clientData/>
  </xdr:twoCellAnchor>
  <xdr:twoCellAnchor>
    <xdr:from>
      <xdr:col>11</xdr:col>
      <xdr:colOff>548640</xdr:colOff>
      <xdr:row>5</xdr:row>
      <xdr:rowOff>60960</xdr:rowOff>
    </xdr:from>
    <xdr:to>
      <xdr:col>13</xdr:col>
      <xdr:colOff>396240</xdr:colOff>
      <xdr:row>10</xdr:row>
      <xdr:rowOff>22860</xdr:rowOff>
    </xdr:to>
    <xdr:sp macro="" textlink="Sheet7!B53">
      <xdr:nvSpPr>
        <xdr:cNvPr id="19" name="Rectangle: Rounded Corners 18">
          <a:extLst>
            <a:ext uri="{FF2B5EF4-FFF2-40B4-BE49-F238E27FC236}">
              <a16:creationId xmlns:a16="http://schemas.microsoft.com/office/drawing/2014/main" id="{772D8302-9525-6379-E84E-5A5E79E76DE3}"/>
            </a:ext>
          </a:extLst>
        </xdr:cNvPr>
        <xdr:cNvSpPr/>
      </xdr:nvSpPr>
      <xdr:spPr>
        <a:xfrm>
          <a:off x="725424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4D9521-A06E-49DB-9A0A-0B02C057ABC4}" type="TxLink">
            <a:rPr lang="en-US" sz="1950" b="1" i="0" u="none" strike="noStrike">
              <a:solidFill>
                <a:srgbClr val="00B050"/>
              </a:solidFill>
              <a:latin typeface="Arial"/>
              <a:cs typeface="Arial"/>
            </a:rPr>
            <a:pPr algn="ctr"/>
            <a:t>107.0K</a:t>
          </a:fld>
          <a:endParaRPr lang="en-NG" sz="1950" b="1">
            <a:solidFill>
              <a:srgbClr val="00B050"/>
            </a:solidFill>
          </a:endParaRPr>
        </a:p>
      </xdr:txBody>
    </xdr:sp>
    <xdr:clientData/>
  </xdr:twoCellAnchor>
  <xdr:twoCellAnchor>
    <xdr:from>
      <xdr:col>14</xdr:col>
      <xdr:colOff>266700</xdr:colOff>
      <xdr:row>5</xdr:row>
      <xdr:rowOff>60960</xdr:rowOff>
    </xdr:from>
    <xdr:to>
      <xdr:col>16</xdr:col>
      <xdr:colOff>114300</xdr:colOff>
      <xdr:row>10</xdr:row>
      <xdr:rowOff>22860</xdr:rowOff>
    </xdr:to>
    <xdr:sp macro="" textlink="Sheet7!B41">
      <xdr:nvSpPr>
        <xdr:cNvPr id="20" name="Rectangle: Rounded Corners 6">
          <a:extLst>
            <a:ext uri="{FF2B5EF4-FFF2-40B4-BE49-F238E27FC236}">
              <a16:creationId xmlns:a16="http://schemas.microsoft.com/office/drawing/2014/main" id="{7BD59765-6BB7-0846-C236-07A524BE2BBA}"/>
            </a:ext>
          </a:extLst>
        </xdr:cNvPr>
        <xdr:cNvSpPr/>
      </xdr:nvSpPr>
      <xdr:spPr>
        <a:xfrm>
          <a:off x="880110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EDBD57A-06C7-48A0-8F8C-2EA7B49DC71A}" type="TxLink">
            <a:rPr lang="en-US" sz="1950" b="1" i="0" u="none" strike="noStrike">
              <a:solidFill>
                <a:srgbClr val="00B050"/>
              </a:solidFill>
              <a:latin typeface="Arial"/>
              <a:cs typeface="Arial"/>
            </a:rPr>
            <a:pPr algn="ctr"/>
            <a:t>53.8K</a:t>
          </a:fld>
          <a:endParaRPr lang="en-NG" sz="1950" b="1">
            <a:solidFill>
              <a:srgbClr val="00B050"/>
            </a:solidFill>
          </a:endParaRPr>
        </a:p>
      </xdr:txBody>
    </xdr:sp>
    <xdr:clientData/>
  </xdr:twoCellAnchor>
  <xdr:twoCellAnchor>
    <xdr:from>
      <xdr:col>17</xdr:col>
      <xdr:colOff>15240</xdr:colOff>
      <xdr:row>5</xdr:row>
      <xdr:rowOff>60960</xdr:rowOff>
    </xdr:from>
    <xdr:to>
      <xdr:col>18</xdr:col>
      <xdr:colOff>472440</xdr:colOff>
      <xdr:row>10</xdr:row>
      <xdr:rowOff>22860</xdr:rowOff>
    </xdr:to>
    <xdr:sp macro="" textlink="Sheet7!B45">
      <xdr:nvSpPr>
        <xdr:cNvPr id="21" name="Rectangle: Rounded Corners 7">
          <a:extLst>
            <a:ext uri="{FF2B5EF4-FFF2-40B4-BE49-F238E27FC236}">
              <a16:creationId xmlns:a16="http://schemas.microsoft.com/office/drawing/2014/main" id="{B0B9ACFB-068C-0F33-E544-6CDFBCE27806}"/>
            </a:ext>
          </a:extLst>
        </xdr:cNvPr>
        <xdr:cNvSpPr/>
      </xdr:nvSpPr>
      <xdr:spPr>
        <a:xfrm>
          <a:off x="1037844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F997DB9-F49E-4DC2-A0ED-DC7C2B82CCA0}" type="TxLink">
            <a:rPr lang="en-US" sz="1950" b="1" i="0" u="none" strike="noStrike">
              <a:solidFill>
                <a:srgbClr val="00B050"/>
              </a:solidFill>
              <a:latin typeface="Arial"/>
              <a:cs typeface="Arial"/>
            </a:rPr>
            <a:pPr algn="ctr"/>
            <a:t>51.2K</a:t>
          </a:fld>
          <a:endParaRPr lang="en-NG" sz="1950" b="1">
            <a:solidFill>
              <a:srgbClr val="00B050"/>
            </a:solidFill>
          </a:endParaRPr>
        </a:p>
      </xdr:txBody>
    </xdr:sp>
    <xdr:clientData/>
  </xdr:twoCellAnchor>
  <xdr:twoCellAnchor>
    <xdr:from>
      <xdr:col>19</xdr:col>
      <xdr:colOff>350520</xdr:colOff>
      <xdr:row>5</xdr:row>
      <xdr:rowOff>60960</xdr:rowOff>
    </xdr:from>
    <xdr:to>
      <xdr:col>21</xdr:col>
      <xdr:colOff>198120</xdr:colOff>
      <xdr:row>10</xdr:row>
      <xdr:rowOff>22860</xdr:rowOff>
    </xdr:to>
    <xdr:sp macro="" textlink="Sheet7!B49">
      <xdr:nvSpPr>
        <xdr:cNvPr id="22" name="Rectangle: Rounded Corners 8">
          <a:extLst>
            <a:ext uri="{FF2B5EF4-FFF2-40B4-BE49-F238E27FC236}">
              <a16:creationId xmlns:a16="http://schemas.microsoft.com/office/drawing/2014/main" id="{D7950288-F3DA-1B9D-68D2-194E21CE8F51}"/>
            </a:ext>
          </a:extLst>
        </xdr:cNvPr>
        <xdr:cNvSpPr/>
      </xdr:nvSpPr>
      <xdr:spPr>
        <a:xfrm>
          <a:off x="119329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8A44175-C20B-4757-99F4-1A2E47588C88}" type="TxLink">
            <a:rPr lang="en-US" sz="1950" b="1" i="0" u="none" strike="noStrike">
              <a:solidFill>
                <a:srgbClr val="00B050"/>
              </a:solidFill>
              <a:latin typeface="Arial"/>
              <a:cs typeface="Arial"/>
            </a:rPr>
            <a:pPr algn="ctr"/>
            <a:t>2.1K</a:t>
          </a:fld>
          <a:endParaRPr lang="en-NG" sz="1950" b="1">
            <a:solidFill>
              <a:srgbClr val="00B050"/>
            </a:solidFill>
          </a:endParaRPr>
        </a:p>
      </xdr:txBody>
    </xdr:sp>
    <xdr:clientData/>
  </xdr:twoCellAnchor>
  <xdr:twoCellAnchor>
    <xdr:from>
      <xdr:col>0</xdr:col>
      <xdr:colOff>0</xdr:colOff>
      <xdr:row>10</xdr:row>
      <xdr:rowOff>50799</xdr:rowOff>
    </xdr:from>
    <xdr:to>
      <xdr:col>2</xdr:col>
      <xdr:colOff>355600</xdr:colOff>
      <xdr:row>55</xdr:row>
      <xdr:rowOff>0</xdr:rowOff>
    </xdr:to>
    <xdr:sp macro="" textlink="">
      <xdr:nvSpPr>
        <xdr:cNvPr id="26" name="Rectangle 25">
          <a:extLst>
            <a:ext uri="{FF2B5EF4-FFF2-40B4-BE49-F238E27FC236}">
              <a16:creationId xmlns:a16="http://schemas.microsoft.com/office/drawing/2014/main" id="{4D3F843B-631F-1C7D-0ACD-C2BF5767B7FA}"/>
            </a:ext>
          </a:extLst>
        </xdr:cNvPr>
        <xdr:cNvSpPr/>
      </xdr:nvSpPr>
      <xdr:spPr>
        <a:xfrm>
          <a:off x="0" y="1692030"/>
          <a:ext cx="1574800" cy="7334739"/>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152400</xdr:colOff>
      <xdr:row>13</xdr:row>
      <xdr:rowOff>127000</xdr:rowOff>
    </xdr:from>
    <xdr:to>
      <xdr:col>2</xdr:col>
      <xdr:colOff>266700</xdr:colOff>
      <xdr:row>18</xdr:row>
      <xdr:rowOff>38100</xdr:rowOff>
    </xdr:to>
    <xdr:sp macro="" textlink="">
      <xdr:nvSpPr>
        <xdr:cNvPr id="27" name="TextBox 26">
          <a:extLst>
            <a:ext uri="{FF2B5EF4-FFF2-40B4-BE49-F238E27FC236}">
              <a16:creationId xmlns:a16="http://schemas.microsoft.com/office/drawing/2014/main" id="{34F178F7-D6A9-8706-08C4-02DA67900DB4}"/>
            </a:ext>
          </a:extLst>
        </xdr:cNvPr>
        <xdr:cNvSpPr txBox="1"/>
      </xdr:nvSpPr>
      <xdr:spPr>
        <a:xfrm>
          <a:off x="152400" y="2273300"/>
          <a:ext cx="1333500" cy="736600"/>
        </a:xfrm>
        <a:prstGeom prst="roundRect">
          <a:avLst>
            <a:gd name="adj" fmla="val 39744"/>
          </a:avLst>
        </a:prstGeom>
        <a:solidFill>
          <a:schemeClr val="bg1"/>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extrusionH="57150">
            <a:bevelT w="82550" h="38100" prst="coolSlant"/>
          </a:sp3d>
        </a:bodyPr>
        <a:lstStyle/>
        <a:p>
          <a:pPr algn="ctr"/>
          <a:r>
            <a:rPr lang="en-US" sz="1600" b="1">
              <a:solidFill>
                <a:schemeClr val="bg2">
                  <a:lumMod val="50000"/>
                </a:schemeClr>
              </a:solidFill>
            </a:rPr>
            <a:t>Executive Overview</a:t>
          </a:r>
          <a:endParaRPr lang="en-NG" sz="1600" b="1">
            <a:solidFill>
              <a:schemeClr val="bg2">
                <a:lumMod val="50000"/>
              </a:schemeClr>
            </a:solidFill>
          </a:endParaRPr>
        </a:p>
      </xdr:txBody>
    </xdr:sp>
    <xdr:clientData/>
  </xdr:twoCellAnchor>
  <xdr:twoCellAnchor>
    <xdr:from>
      <xdr:col>0</xdr:col>
      <xdr:colOff>152400</xdr:colOff>
      <xdr:row>20</xdr:row>
      <xdr:rowOff>38100</xdr:rowOff>
    </xdr:from>
    <xdr:to>
      <xdr:col>2</xdr:col>
      <xdr:colOff>266700</xdr:colOff>
      <xdr:row>24</xdr:row>
      <xdr:rowOff>114300</xdr:rowOff>
    </xdr:to>
    <xdr:sp macro="" textlink="">
      <xdr:nvSpPr>
        <xdr:cNvPr id="28" name="TextBox 27">
          <a:hlinkClick xmlns:r="http://schemas.openxmlformats.org/officeDocument/2006/relationships" r:id="rId5"/>
          <a:extLst>
            <a:ext uri="{FF2B5EF4-FFF2-40B4-BE49-F238E27FC236}">
              <a16:creationId xmlns:a16="http://schemas.microsoft.com/office/drawing/2014/main" id="{6D8D3681-02DE-0DFE-7B29-090E4D8E7EB2}"/>
            </a:ext>
          </a:extLst>
        </xdr:cNvPr>
        <xdr:cNvSpPr txBox="1"/>
      </xdr:nvSpPr>
      <xdr:spPr>
        <a:xfrm>
          <a:off x="152400" y="3340100"/>
          <a:ext cx="1333500" cy="736600"/>
        </a:xfrm>
        <a:prstGeom prst="roundRect">
          <a:avLst>
            <a:gd name="adj" fmla="val 39744"/>
          </a:avLst>
        </a:prstGeom>
        <a:solidFill>
          <a:schemeClr val="bg1"/>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extrusionH="57150">
            <a:bevelT w="82550" h="38100" prst="coolSlant"/>
          </a:sp3d>
        </a:bodyPr>
        <a:lstStyle/>
        <a:p>
          <a:pPr algn="ctr"/>
          <a:r>
            <a:rPr lang="en-US" sz="1600" b="1">
              <a:solidFill>
                <a:srgbClr val="00B050"/>
              </a:solidFill>
            </a:rPr>
            <a:t>Deep</a:t>
          </a:r>
        </a:p>
        <a:p>
          <a:pPr algn="ctr"/>
          <a:r>
            <a:rPr lang="en-US" sz="1600" b="1">
              <a:solidFill>
                <a:srgbClr val="00B050"/>
              </a:solidFill>
            </a:rPr>
            <a:t>Insights</a:t>
          </a:r>
          <a:endParaRPr lang="en-NG" sz="1600" b="1">
            <a:solidFill>
              <a:srgbClr val="00B050"/>
            </a:solidFill>
          </a:endParaRPr>
        </a:p>
      </xdr:txBody>
    </xdr:sp>
    <xdr:clientData/>
  </xdr:twoCellAnchor>
  <xdr:twoCellAnchor>
    <xdr:from>
      <xdr:col>0</xdr:col>
      <xdr:colOff>152400</xdr:colOff>
      <xdr:row>27</xdr:row>
      <xdr:rowOff>0</xdr:rowOff>
    </xdr:from>
    <xdr:to>
      <xdr:col>2</xdr:col>
      <xdr:colOff>266700</xdr:colOff>
      <xdr:row>31</xdr:row>
      <xdr:rowOff>76200</xdr:rowOff>
    </xdr:to>
    <xdr:sp macro="" textlink="">
      <xdr:nvSpPr>
        <xdr:cNvPr id="29" name="TextBox 28">
          <a:hlinkClick xmlns:r="http://schemas.openxmlformats.org/officeDocument/2006/relationships" r:id="rId6"/>
          <a:extLst>
            <a:ext uri="{FF2B5EF4-FFF2-40B4-BE49-F238E27FC236}">
              <a16:creationId xmlns:a16="http://schemas.microsoft.com/office/drawing/2014/main" id="{9BB7DF10-1EF0-6622-6AC2-2DF19FA7A364}"/>
            </a:ext>
          </a:extLst>
        </xdr:cNvPr>
        <xdr:cNvSpPr txBox="1"/>
      </xdr:nvSpPr>
      <xdr:spPr>
        <a:xfrm>
          <a:off x="152400" y="4457700"/>
          <a:ext cx="1333500" cy="736600"/>
        </a:xfrm>
        <a:prstGeom prst="roundRect">
          <a:avLst>
            <a:gd name="adj" fmla="val 39744"/>
          </a:avLst>
        </a:prstGeom>
        <a:solidFill>
          <a:schemeClr val="bg1"/>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extrusionH="57150">
            <a:bevelT w="82550" h="38100" prst="coolSlant"/>
          </a:sp3d>
        </a:bodyPr>
        <a:lstStyle/>
        <a:p>
          <a:pPr algn="ctr"/>
          <a:r>
            <a:rPr lang="en-US" sz="1600" b="1">
              <a:solidFill>
                <a:srgbClr val="00B050"/>
              </a:solidFill>
            </a:rPr>
            <a:t>Database</a:t>
          </a:r>
        </a:p>
        <a:p>
          <a:pPr algn="ctr"/>
          <a:r>
            <a:rPr lang="en-US" sz="1600" b="1">
              <a:solidFill>
                <a:srgbClr val="00B050"/>
              </a:solidFill>
            </a:rPr>
            <a:t>View</a:t>
          </a:r>
          <a:endParaRPr lang="en-NG" sz="1600" b="1">
            <a:solidFill>
              <a:srgbClr val="00B050"/>
            </a:solidFill>
          </a:endParaRPr>
        </a:p>
      </xdr:txBody>
    </xdr:sp>
    <xdr:clientData/>
  </xdr:twoCellAnchor>
  <xdr:twoCellAnchor>
    <xdr:from>
      <xdr:col>8</xdr:col>
      <xdr:colOff>584200</xdr:colOff>
      <xdr:row>0</xdr:row>
      <xdr:rowOff>0</xdr:rowOff>
    </xdr:from>
    <xdr:to>
      <xdr:col>11</xdr:col>
      <xdr:colOff>88900</xdr:colOff>
      <xdr:row>1</xdr:row>
      <xdr:rowOff>88900</xdr:rowOff>
    </xdr:to>
    <xdr:sp macro="" textlink="">
      <xdr:nvSpPr>
        <xdr:cNvPr id="30" name="TextBox 29">
          <a:extLst>
            <a:ext uri="{FF2B5EF4-FFF2-40B4-BE49-F238E27FC236}">
              <a16:creationId xmlns:a16="http://schemas.microsoft.com/office/drawing/2014/main" id="{3328FA8C-B8F0-AF39-81AF-AEF518C2BD66}"/>
            </a:ext>
          </a:extLst>
        </xdr:cNvPr>
        <xdr:cNvSpPr txBox="1"/>
      </xdr:nvSpPr>
      <xdr:spPr>
        <a:xfrm>
          <a:off x="5461000" y="0"/>
          <a:ext cx="13335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Leading Party</a:t>
          </a:r>
          <a:endParaRPr lang="en-NG" sz="1400">
            <a:solidFill>
              <a:schemeClr val="bg2">
                <a:lumMod val="50000"/>
              </a:schemeClr>
            </a:solidFill>
          </a:endParaRPr>
        </a:p>
      </xdr:txBody>
    </xdr:sp>
    <xdr:clientData/>
  </xdr:twoCellAnchor>
  <xdr:twoCellAnchor>
    <xdr:from>
      <xdr:col>9</xdr:col>
      <xdr:colOff>88900</xdr:colOff>
      <xdr:row>1</xdr:row>
      <xdr:rowOff>63500</xdr:rowOff>
    </xdr:from>
    <xdr:to>
      <xdr:col>10</xdr:col>
      <xdr:colOff>317500</xdr:colOff>
      <xdr:row>2</xdr:row>
      <xdr:rowOff>127000</xdr:rowOff>
    </xdr:to>
    <xdr:sp macro="" textlink="Sheet7!B19">
      <xdr:nvSpPr>
        <xdr:cNvPr id="31" name="Rectangle 30">
          <a:extLst>
            <a:ext uri="{FF2B5EF4-FFF2-40B4-BE49-F238E27FC236}">
              <a16:creationId xmlns:a16="http://schemas.microsoft.com/office/drawing/2014/main" id="{23FF1E2F-B7FB-8A73-4A0A-717F841E8E62}"/>
            </a:ext>
          </a:extLst>
        </xdr:cNvPr>
        <xdr:cNvSpPr/>
      </xdr:nvSpPr>
      <xdr:spPr>
        <a:xfrm>
          <a:off x="5575300" y="228600"/>
          <a:ext cx="838200"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49D73CF-8B19-4AF9-B417-6A561236C5A9}" type="TxLink">
            <a:rPr lang="en-US" sz="1400" b="1" i="0" u="none" strike="noStrike">
              <a:solidFill>
                <a:srgbClr val="00B050"/>
              </a:solidFill>
              <a:latin typeface="Arial"/>
              <a:cs typeface="Arial"/>
            </a:rPr>
            <a:pPr algn="ctr"/>
            <a:t>Party A</a:t>
          </a:fld>
          <a:endParaRPr lang="en-NG" sz="1800" b="1">
            <a:solidFill>
              <a:srgbClr val="00B050"/>
            </a:solidFill>
          </a:endParaRPr>
        </a:p>
      </xdr:txBody>
    </xdr:sp>
    <xdr:clientData/>
  </xdr:twoCellAnchor>
  <xdr:twoCellAnchor>
    <xdr:from>
      <xdr:col>9</xdr:col>
      <xdr:colOff>292100</xdr:colOff>
      <xdr:row>2</xdr:row>
      <xdr:rowOff>111626</xdr:rowOff>
    </xdr:from>
    <xdr:to>
      <xdr:col>10</xdr:col>
      <xdr:colOff>520700</xdr:colOff>
      <xdr:row>4</xdr:row>
      <xdr:rowOff>10026</xdr:rowOff>
    </xdr:to>
    <xdr:sp macro="" textlink="Sheet7!C19">
      <xdr:nvSpPr>
        <xdr:cNvPr id="32" name="Rectangle 31">
          <a:extLst>
            <a:ext uri="{FF2B5EF4-FFF2-40B4-BE49-F238E27FC236}">
              <a16:creationId xmlns:a16="http://schemas.microsoft.com/office/drawing/2014/main" id="{A6621D94-E150-7D70-BA84-54FC4FC4596A}"/>
            </a:ext>
          </a:extLst>
        </xdr:cNvPr>
        <xdr:cNvSpPr/>
      </xdr:nvSpPr>
      <xdr:spPr>
        <a:xfrm>
          <a:off x="5796547" y="452521"/>
          <a:ext cx="840206" cy="2392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841D40E-98D9-4820-8B79-4F39A072E49D}" type="TxLink">
            <a:rPr lang="en-US" sz="1400" b="1" i="0" u="none" strike="noStrike">
              <a:solidFill>
                <a:srgbClr val="00B050"/>
              </a:solidFill>
              <a:latin typeface="Arial"/>
              <a:cs typeface="Arial"/>
            </a:rPr>
            <a:pPr algn="l"/>
            <a:t>50.30%</a:t>
          </a:fld>
          <a:endParaRPr lang="en-NG" sz="1800" b="1">
            <a:solidFill>
              <a:srgbClr val="00B050"/>
            </a:solidFill>
          </a:endParaRPr>
        </a:p>
      </xdr:txBody>
    </xdr:sp>
    <xdr:clientData/>
  </xdr:twoCellAnchor>
  <xdr:twoCellAnchor>
    <xdr:from>
      <xdr:col>10</xdr:col>
      <xdr:colOff>316830</xdr:colOff>
      <xdr:row>2</xdr:row>
      <xdr:rowOff>88900</xdr:rowOff>
    </xdr:from>
    <xdr:to>
      <xdr:col>12</xdr:col>
      <xdr:colOff>431130</xdr:colOff>
      <xdr:row>4</xdr:row>
      <xdr:rowOff>12700</xdr:rowOff>
    </xdr:to>
    <xdr:sp macro="" textlink="">
      <xdr:nvSpPr>
        <xdr:cNvPr id="33" name="TextBox 32">
          <a:extLst>
            <a:ext uri="{FF2B5EF4-FFF2-40B4-BE49-F238E27FC236}">
              <a16:creationId xmlns:a16="http://schemas.microsoft.com/office/drawing/2014/main" id="{9E23CF7F-C5B8-C131-4E89-BBFC251B6ED9}"/>
            </a:ext>
          </a:extLst>
        </xdr:cNvPr>
        <xdr:cNvSpPr txBox="1"/>
      </xdr:nvSpPr>
      <xdr:spPr>
        <a:xfrm>
          <a:off x="6432883" y="429795"/>
          <a:ext cx="1337510" cy="264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of total votes</a:t>
          </a:r>
          <a:endParaRPr lang="en-NG" sz="1400">
            <a:solidFill>
              <a:schemeClr val="bg2">
                <a:lumMod val="50000"/>
              </a:schemeClr>
            </a:solidFill>
          </a:endParaRPr>
        </a:p>
      </xdr:txBody>
    </xdr:sp>
    <xdr:clientData/>
  </xdr:twoCellAnchor>
  <xdr:twoCellAnchor editAs="absolute">
    <xdr:from>
      <xdr:col>2</xdr:col>
      <xdr:colOff>381000</xdr:colOff>
      <xdr:row>10</xdr:row>
      <xdr:rowOff>71121</xdr:rowOff>
    </xdr:from>
    <xdr:to>
      <xdr:col>17</xdr:col>
      <xdr:colOff>38100</xdr:colOff>
      <xdr:row>14</xdr:row>
      <xdr:rowOff>65314</xdr:rowOff>
    </xdr:to>
    <mc:AlternateContent xmlns:mc="http://schemas.openxmlformats.org/markup-compatibility/2006" xmlns:a14="http://schemas.microsoft.com/office/drawing/2010/main">
      <mc:Choice Requires="a14">
        <xdr:graphicFrame macro="">
          <xdr:nvGraphicFramePr>
            <xdr:cNvPr id="34" name="LGA">
              <a:extLst>
                <a:ext uri="{FF2B5EF4-FFF2-40B4-BE49-F238E27FC236}">
                  <a16:creationId xmlns:a16="http://schemas.microsoft.com/office/drawing/2014/main" id="{0ECB6FC6-670E-090D-CDE2-5D308FECE8D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LGA"/>
            </a:graphicData>
          </a:graphic>
        </xdr:graphicFrame>
      </mc:Choice>
      <mc:Fallback xmlns="">
        <xdr:sp macro="" textlink="">
          <xdr:nvSpPr>
            <xdr:cNvPr id="0" name=""/>
            <xdr:cNvSpPr>
              <a:spLocks noTextEdit="1"/>
            </xdr:cNvSpPr>
          </xdr:nvSpPr>
          <xdr:spPr>
            <a:xfrm>
              <a:off x="1604818" y="1802939"/>
              <a:ext cx="8835737" cy="68692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17</xdr:col>
      <xdr:colOff>114300</xdr:colOff>
      <xdr:row>10</xdr:row>
      <xdr:rowOff>72932</xdr:rowOff>
    </xdr:from>
    <xdr:to>
      <xdr:col>23</xdr:col>
      <xdr:colOff>0</xdr:colOff>
      <xdr:row>14</xdr:row>
      <xdr:rowOff>65312</xdr:rowOff>
    </xdr:to>
    <mc:AlternateContent xmlns:mc="http://schemas.openxmlformats.org/markup-compatibility/2006" xmlns:a14="http://schemas.microsoft.com/office/drawing/2010/main">
      <mc:Choice Requires="a14">
        <xdr:graphicFrame macro="">
          <xdr:nvGraphicFramePr>
            <xdr:cNvPr id="37" name="State">
              <a:extLst>
                <a:ext uri="{FF2B5EF4-FFF2-40B4-BE49-F238E27FC236}">
                  <a16:creationId xmlns:a16="http://schemas.microsoft.com/office/drawing/2014/main" id="{C8EE99E5-C2EC-4D5F-1883-C963CA5B45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516755" y="1804750"/>
              <a:ext cx="3557154" cy="68510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279400</xdr:colOff>
      <xdr:row>16</xdr:row>
      <xdr:rowOff>12700</xdr:rowOff>
    </xdr:from>
    <xdr:to>
      <xdr:col>11</xdr:col>
      <xdr:colOff>50800</xdr:colOff>
      <xdr:row>31</xdr:row>
      <xdr:rowOff>0</xdr:rowOff>
    </xdr:to>
    <xdr:grpSp>
      <xdr:nvGrpSpPr>
        <xdr:cNvPr id="58" name="Group 57">
          <a:extLst>
            <a:ext uri="{FF2B5EF4-FFF2-40B4-BE49-F238E27FC236}">
              <a16:creationId xmlns:a16="http://schemas.microsoft.com/office/drawing/2014/main" id="{3FCA3D62-F847-498C-2BBF-1CDC9D89BA26}"/>
            </a:ext>
          </a:extLst>
        </xdr:cNvPr>
        <xdr:cNvGrpSpPr/>
      </xdr:nvGrpSpPr>
      <xdr:grpSpPr>
        <a:xfrm>
          <a:off x="2711938" y="2709008"/>
          <a:ext cx="4028343" cy="2515088"/>
          <a:chOff x="2710084" y="2636295"/>
          <a:chExt cx="4025096" cy="2446920"/>
        </a:xfrm>
      </xdr:grpSpPr>
      <xdr:sp macro="" textlink="">
        <xdr:nvSpPr>
          <xdr:cNvPr id="40" name="Rectangle: Rounded Corners 39">
            <a:extLst>
              <a:ext uri="{FF2B5EF4-FFF2-40B4-BE49-F238E27FC236}">
                <a16:creationId xmlns:a16="http://schemas.microsoft.com/office/drawing/2014/main" id="{3430EEA9-7E82-ECB8-9E9C-BBA41B507AF7}"/>
              </a:ext>
            </a:extLst>
          </xdr:cNvPr>
          <xdr:cNvSpPr/>
        </xdr:nvSpPr>
        <xdr:spPr>
          <a:xfrm>
            <a:off x="2710084" y="2636295"/>
            <a:ext cx="4025096" cy="2446920"/>
          </a:xfrm>
          <a:prstGeom prst="roundRect">
            <a:avLst/>
          </a:prstGeom>
          <a:solidFill>
            <a:schemeClr val="bg1">
              <a:lumMod val="95000"/>
            </a:schemeClr>
          </a:solidFill>
          <a:ln>
            <a:noFill/>
          </a:ln>
          <a:effectLst>
            <a:outerShdw blurRad="63500" sx="102000" sy="102000" algn="c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39" name="Chart 38">
            <a:extLst>
              <a:ext uri="{FF2B5EF4-FFF2-40B4-BE49-F238E27FC236}">
                <a16:creationId xmlns:a16="http://schemas.microsoft.com/office/drawing/2014/main" id="{ABDC5F0B-1B71-42A5-A0AE-28DC92679ECD}"/>
              </a:ext>
            </a:extLst>
          </xdr:cNvPr>
          <xdr:cNvGraphicFramePr>
            <a:graphicFrameLocks/>
          </xdr:cNvGraphicFramePr>
        </xdr:nvGraphicFramePr>
        <xdr:xfrm>
          <a:off x="2787141" y="2648765"/>
          <a:ext cx="3901806" cy="242387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12</xdr:col>
      <xdr:colOff>431800</xdr:colOff>
      <xdr:row>16</xdr:row>
      <xdr:rowOff>12700</xdr:rowOff>
    </xdr:from>
    <xdr:to>
      <xdr:col>19</xdr:col>
      <xdr:colOff>203200</xdr:colOff>
      <xdr:row>31</xdr:row>
      <xdr:rowOff>0</xdr:rowOff>
    </xdr:to>
    <xdr:grpSp>
      <xdr:nvGrpSpPr>
        <xdr:cNvPr id="44" name="Group 43">
          <a:extLst>
            <a:ext uri="{FF2B5EF4-FFF2-40B4-BE49-F238E27FC236}">
              <a16:creationId xmlns:a16="http://schemas.microsoft.com/office/drawing/2014/main" id="{531DF407-C0A8-B52B-8327-9C32FEC8990C}"/>
            </a:ext>
          </a:extLst>
        </xdr:cNvPr>
        <xdr:cNvGrpSpPr/>
      </xdr:nvGrpSpPr>
      <xdr:grpSpPr>
        <a:xfrm>
          <a:off x="7729415" y="2709008"/>
          <a:ext cx="4028343" cy="2515088"/>
          <a:chOff x="6388100" y="2654300"/>
          <a:chExt cx="4038600" cy="2463800"/>
        </a:xfrm>
      </xdr:grpSpPr>
      <xdr:sp macro="" textlink="">
        <xdr:nvSpPr>
          <xdr:cNvPr id="42" name="Rectangle: Rounded Corners 41">
            <a:extLst>
              <a:ext uri="{FF2B5EF4-FFF2-40B4-BE49-F238E27FC236}">
                <a16:creationId xmlns:a16="http://schemas.microsoft.com/office/drawing/2014/main" id="{C19FF924-2FCA-C0E6-F600-5867CB207AAE}"/>
              </a:ext>
            </a:extLst>
          </xdr:cNvPr>
          <xdr:cNvSpPr/>
        </xdr:nvSpPr>
        <xdr:spPr>
          <a:xfrm>
            <a:off x="6388100" y="2654300"/>
            <a:ext cx="4038600" cy="2463800"/>
          </a:xfrm>
          <a:prstGeom prst="roundRect">
            <a:avLst/>
          </a:prstGeom>
          <a:solidFill>
            <a:schemeClr val="bg1">
              <a:lumMod val="95000"/>
            </a:schemeClr>
          </a:solidFill>
          <a:ln>
            <a:noFill/>
          </a:ln>
          <a:effectLst>
            <a:outerShdw blurRad="63500" sx="102000" sy="102000" algn="c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41" name="Chart 40">
            <a:extLst>
              <a:ext uri="{FF2B5EF4-FFF2-40B4-BE49-F238E27FC236}">
                <a16:creationId xmlns:a16="http://schemas.microsoft.com/office/drawing/2014/main" id="{B2B3C9A1-6C5F-4C1C-980A-150C380ECD26}"/>
              </a:ext>
            </a:extLst>
          </xdr:cNvPr>
          <xdr:cNvGraphicFramePr>
            <a:graphicFrameLocks/>
          </xdr:cNvGraphicFramePr>
        </xdr:nvGraphicFramePr>
        <xdr:xfrm>
          <a:off x="6413500" y="2654300"/>
          <a:ext cx="3916800" cy="2440800"/>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8</xdr:col>
      <xdr:colOff>533400</xdr:colOff>
      <xdr:row>2</xdr:row>
      <xdr:rowOff>88900</xdr:rowOff>
    </xdr:from>
    <xdr:to>
      <xdr:col>9</xdr:col>
      <xdr:colOff>444500</xdr:colOff>
      <xdr:row>4</xdr:row>
      <xdr:rowOff>25400</xdr:rowOff>
    </xdr:to>
    <xdr:sp macro="" textlink="">
      <xdr:nvSpPr>
        <xdr:cNvPr id="43" name="TextBox 42">
          <a:extLst>
            <a:ext uri="{FF2B5EF4-FFF2-40B4-BE49-F238E27FC236}">
              <a16:creationId xmlns:a16="http://schemas.microsoft.com/office/drawing/2014/main" id="{73E01130-AF8B-2251-9A48-737A7037CFC9}"/>
            </a:ext>
          </a:extLst>
        </xdr:cNvPr>
        <xdr:cNvSpPr txBox="1"/>
      </xdr:nvSpPr>
      <xdr:spPr>
        <a:xfrm>
          <a:off x="5410200" y="419100"/>
          <a:ext cx="520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with</a:t>
          </a:r>
          <a:endParaRPr lang="en-NG" sz="1400">
            <a:solidFill>
              <a:schemeClr val="bg2">
                <a:lumMod val="50000"/>
              </a:schemeClr>
            </a:solidFill>
          </a:endParaRPr>
        </a:p>
      </xdr:txBody>
    </xdr:sp>
    <xdr:clientData/>
  </xdr:twoCellAnchor>
  <xdr:twoCellAnchor>
    <xdr:from>
      <xdr:col>1</xdr:col>
      <xdr:colOff>536864</xdr:colOff>
      <xdr:row>3</xdr:row>
      <xdr:rowOff>137812</xdr:rowOff>
    </xdr:from>
    <xdr:to>
      <xdr:col>3</xdr:col>
      <xdr:colOff>389659</xdr:colOff>
      <xdr:row>5</xdr:row>
      <xdr:rowOff>82482</xdr:rowOff>
    </xdr:to>
    <xdr:sp macro="" textlink="">
      <xdr:nvSpPr>
        <xdr:cNvPr id="46" name="TextBox 45">
          <a:extLst>
            <a:ext uri="{FF2B5EF4-FFF2-40B4-BE49-F238E27FC236}">
              <a16:creationId xmlns:a16="http://schemas.microsoft.com/office/drawing/2014/main" id="{A20185D8-04AA-CA98-35A4-C92608BA269A}"/>
            </a:ext>
          </a:extLst>
        </xdr:cNvPr>
        <xdr:cNvSpPr txBox="1"/>
      </xdr:nvSpPr>
      <xdr:spPr>
        <a:xfrm>
          <a:off x="1143881" y="641507"/>
          <a:ext cx="1066829"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LGAs</a:t>
          </a:r>
          <a:endParaRPr lang="en-NG" sz="1400" b="1">
            <a:solidFill>
              <a:schemeClr val="bg2">
                <a:lumMod val="75000"/>
              </a:schemeClr>
            </a:solidFill>
          </a:endParaRPr>
        </a:p>
      </xdr:txBody>
    </xdr:sp>
    <xdr:clientData/>
  </xdr:twoCellAnchor>
  <xdr:twoCellAnchor>
    <xdr:from>
      <xdr:col>4</xdr:col>
      <xdr:colOff>259773</xdr:colOff>
      <xdr:row>3</xdr:row>
      <xdr:rowOff>137812</xdr:rowOff>
    </xdr:from>
    <xdr:to>
      <xdr:col>6</xdr:col>
      <xdr:colOff>112568</xdr:colOff>
      <xdr:row>5</xdr:row>
      <xdr:rowOff>82482</xdr:rowOff>
    </xdr:to>
    <xdr:sp macro="" textlink="">
      <xdr:nvSpPr>
        <xdr:cNvPr id="48" name="TextBox 47">
          <a:extLst>
            <a:ext uri="{FF2B5EF4-FFF2-40B4-BE49-F238E27FC236}">
              <a16:creationId xmlns:a16="http://schemas.microsoft.com/office/drawing/2014/main" id="{3D5B5D83-DD00-80D3-B61C-14461B050A56}"/>
            </a:ext>
          </a:extLst>
        </xdr:cNvPr>
        <xdr:cNvSpPr txBox="1"/>
      </xdr:nvSpPr>
      <xdr:spPr>
        <a:xfrm>
          <a:off x="2687841" y="641507"/>
          <a:ext cx="1066829"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States</a:t>
          </a:r>
          <a:endParaRPr lang="en-NG" sz="1400" b="1">
            <a:solidFill>
              <a:schemeClr val="bg2">
                <a:lumMod val="75000"/>
              </a:schemeClr>
            </a:solidFill>
          </a:endParaRPr>
        </a:p>
      </xdr:txBody>
    </xdr:sp>
    <xdr:clientData/>
  </xdr:twoCellAnchor>
  <xdr:twoCellAnchor>
    <xdr:from>
      <xdr:col>6</xdr:col>
      <xdr:colOff>562840</xdr:colOff>
      <xdr:row>3</xdr:row>
      <xdr:rowOff>137812</xdr:rowOff>
    </xdr:from>
    <xdr:to>
      <xdr:col>8</xdr:col>
      <xdr:colOff>415635</xdr:colOff>
      <xdr:row>5</xdr:row>
      <xdr:rowOff>82482</xdr:rowOff>
    </xdr:to>
    <xdr:sp macro="" textlink="">
      <xdr:nvSpPr>
        <xdr:cNvPr id="49" name="TextBox 48">
          <a:extLst>
            <a:ext uri="{FF2B5EF4-FFF2-40B4-BE49-F238E27FC236}">
              <a16:creationId xmlns:a16="http://schemas.microsoft.com/office/drawing/2014/main" id="{90DD429A-A661-4E6D-33F9-3795B25D7C84}"/>
            </a:ext>
          </a:extLst>
        </xdr:cNvPr>
        <xdr:cNvSpPr txBox="1"/>
      </xdr:nvSpPr>
      <xdr:spPr>
        <a:xfrm>
          <a:off x="4204942" y="641507"/>
          <a:ext cx="1066829"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Wards</a:t>
          </a:r>
          <a:endParaRPr lang="en-NG" sz="1400" b="1">
            <a:solidFill>
              <a:schemeClr val="bg2">
                <a:lumMod val="75000"/>
              </a:schemeClr>
            </a:solidFill>
          </a:endParaRPr>
        </a:p>
      </xdr:txBody>
    </xdr:sp>
    <xdr:clientData/>
  </xdr:twoCellAnchor>
  <xdr:twoCellAnchor>
    <xdr:from>
      <xdr:col>8</xdr:col>
      <xdr:colOff>545520</xdr:colOff>
      <xdr:row>3</xdr:row>
      <xdr:rowOff>137812</xdr:rowOff>
    </xdr:from>
    <xdr:to>
      <xdr:col>11</xdr:col>
      <xdr:colOff>450273</xdr:colOff>
      <xdr:row>5</xdr:row>
      <xdr:rowOff>82482</xdr:rowOff>
    </xdr:to>
    <xdr:sp macro="" textlink="">
      <xdr:nvSpPr>
        <xdr:cNvPr id="50" name="TextBox 49">
          <a:extLst>
            <a:ext uri="{FF2B5EF4-FFF2-40B4-BE49-F238E27FC236}">
              <a16:creationId xmlns:a16="http://schemas.microsoft.com/office/drawing/2014/main" id="{2AA4D425-B700-B55C-2D66-5AF67CD93ED3}"/>
            </a:ext>
          </a:extLst>
        </xdr:cNvPr>
        <xdr:cNvSpPr txBox="1"/>
      </xdr:nvSpPr>
      <xdr:spPr>
        <a:xfrm>
          <a:off x="5401656" y="641507"/>
          <a:ext cx="1725803"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Registered Voters</a:t>
          </a:r>
          <a:endParaRPr lang="en-NG" sz="1400" b="1">
            <a:solidFill>
              <a:schemeClr val="bg2">
                <a:lumMod val="75000"/>
              </a:schemeClr>
            </a:solidFill>
          </a:endParaRPr>
        </a:p>
      </xdr:txBody>
    </xdr:sp>
    <xdr:clientData/>
  </xdr:twoCellAnchor>
  <xdr:twoCellAnchor>
    <xdr:from>
      <xdr:col>11</xdr:col>
      <xdr:colOff>476248</xdr:colOff>
      <xdr:row>3</xdr:row>
      <xdr:rowOff>137812</xdr:rowOff>
    </xdr:from>
    <xdr:to>
      <xdr:col>13</xdr:col>
      <xdr:colOff>467591</xdr:colOff>
      <xdr:row>5</xdr:row>
      <xdr:rowOff>82482</xdr:rowOff>
    </xdr:to>
    <xdr:sp macro="" textlink="">
      <xdr:nvSpPr>
        <xdr:cNvPr id="51" name="TextBox 50">
          <a:extLst>
            <a:ext uri="{FF2B5EF4-FFF2-40B4-BE49-F238E27FC236}">
              <a16:creationId xmlns:a16="http://schemas.microsoft.com/office/drawing/2014/main" id="{D08DD9E4-5ACE-43D1-2427-4093C071B17B}"/>
            </a:ext>
          </a:extLst>
        </xdr:cNvPr>
        <xdr:cNvSpPr txBox="1"/>
      </xdr:nvSpPr>
      <xdr:spPr>
        <a:xfrm>
          <a:off x="7153434" y="641507"/>
          <a:ext cx="1205377"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Votes Cast</a:t>
          </a:r>
          <a:endParaRPr lang="en-NG" sz="1400" b="1">
            <a:solidFill>
              <a:schemeClr val="bg2">
                <a:lumMod val="75000"/>
              </a:schemeClr>
            </a:solidFill>
          </a:endParaRPr>
        </a:p>
      </xdr:txBody>
    </xdr:sp>
    <xdr:clientData/>
  </xdr:twoCellAnchor>
  <xdr:twoCellAnchor>
    <xdr:from>
      <xdr:col>13</xdr:col>
      <xdr:colOff>606134</xdr:colOff>
      <xdr:row>3</xdr:row>
      <xdr:rowOff>137812</xdr:rowOff>
    </xdr:from>
    <xdr:to>
      <xdr:col>16</xdr:col>
      <xdr:colOff>233795</xdr:colOff>
      <xdr:row>5</xdr:row>
      <xdr:rowOff>82482</xdr:rowOff>
    </xdr:to>
    <xdr:sp macro="" textlink="">
      <xdr:nvSpPr>
        <xdr:cNvPr id="52" name="TextBox 51">
          <a:extLst>
            <a:ext uri="{FF2B5EF4-FFF2-40B4-BE49-F238E27FC236}">
              <a16:creationId xmlns:a16="http://schemas.microsoft.com/office/drawing/2014/main" id="{723384C0-EF47-CBE6-06B8-6BCADBEB470C}"/>
            </a:ext>
          </a:extLst>
        </xdr:cNvPr>
        <xdr:cNvSpPr txBox="1"/>
      </xdr:nvSpPr>
      <xdr:spPr>
        <a:xfrm>
          <a:off x="8497354" y="641507"/>
          <a:ext cx="1448712"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Party A Votes</a:t>
          </a:r>
          <a:endParaRPr lang="en-NG" sz="1400" b="1">
            <a:solidFill>
              <a:schemeClr val="bg2">
                <a:lumMod val="75000"/>
              </a:schemeClr>
            </a:solidFill>
          </a:endParaRPr>
        </a:p>
      </xdr:txBody>
    </xdr:sp>
    <xdr:clientData/>
  </xdr:twoCellAnchor>
  <xdr:twoCellAnchor>
    <xdr:from>
      <xdr:col>16</xdr:col>
      <xdr:colOff>450271</xdr:colOff>
      <xdr:row>3</xdr:row>
      <xdr:rowOff>137812</xdr:rowOff>
    </xdr:from>
    <xdr:to>
      <xdr:col>19</xdr:col>
      <xdr:colOff>77932</xdr:colOff>
      <xdr:row>5</xdr:row>
      <xdr:rowOff>82482</xdr:rowOff>
    </xdr:to>
    <xdr:sp macro="" textlink="">
      <xdr:nvSpPr>
        <xdr:cNvPr id="53" name="TextBox 52">
          <a:extLst>
            <a:ext uri="{FF2B5EF4-FFF2-40B4-BE49-F238E27FC236}">
              <a16:creationId xmlns:a16="http://schemas.microsoft.com/office/drawing/2014/main" id="{44D15078-6E20-B3EA-E1EF-3A48A4D27095}"/>
            </a:ext>
          </a:extLst>
        </xdr:cNvPr>
        <xdr:cNvSpPr txBox="1"/>
      </xdr:nvSpPr>
      <xdr:spPr>
        <a:xfrm>
          <a:off x="10162542" y="641507"/>
          <a:ext cx="1448712"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Party B Votes</a:t>
          </a:r>
          <a:endParaRPr lang="en-NG" sz="1400" b="1">
            <a:solidFill>
              <a:schemeClr val="bg2">
                <a:lumMod val="75000"/>
              </a:schemeClr>
            </a:solidFill>
          </a:endParaRPr>
        </a:p>
      </xdr:txBody>
    </xdr:sp>
    <xdr:clientData/>
  </xdr:twoCellAnchor>
  <xdr:twoCellAnchor>
    <xdr:from>
      <xdr:col>19</xdr:col>
      <xdr:colOff>155862</xdr:colOff>
      <xdr:row>3</xdr:row>
      <xdr:rowOff>137812</xdr:rowOff>
    </xdr:from>
    <xdr:to>
      <xdr:col>21</xdr:col>
      <xdr:colOff>389659</xdr:colOff>
      <xdr:row>5</xdr:row>
      <xdr:rowOff>82482</xdr:rowOff>
    </xdr:to>
    <xdr:sp macro="" textlink="">
      <xdr:nvSpPr>
        <xdr:cNvPr id="54" name="TextBox 53">
          <a:extLst>
            <a:ext uri="{FF2B5EF4-FFF2-40B4-BE49-F238E27FC236}">
              <a16:creationId xmlns:a16="http://schemas.microsoft.com/office/drawing/2014/main" id="{DAA4754D-DFD1-BF35-AE3E-90DE5ABF8816}"/>
            </a:ext>
          </a:extLst>
        </xdr:cNvPr>
        <xdr:cNvSpPr txBox="1"/>
      </xdr:nvSpPr>
      <xdr:spPr>
        <a:xfrm>
          <a:off x="11689184" y="641507"/>
          <a:ext cx="1447831" cy="280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Party C Votes</a:t>
          </a:r>
          <a:endParaRPr lang="en-NG" sz="1400" b="1">
            <a:solidFill>
              <a:schemeClr val="bg2">
                <a:lumMod val="75000"/>
              </a:schemeClr>
            </a:solidFill>
          </a:endParaRPr>
        </a:p>
      </xdr:txBody>
    </xdr:sp>
    <xdr:clientData/>
  </xdr:twoCellAnchor>
  <xdr:twoCellAnchor>
    <xdr:from>
      <xdr:col>2</xdr:col>
      <xdr:colOff>541421</xdr:colOff>
      <xdr:row>32</xdr:row>
      <xdr:rowOff>100266</xdr:rowOff>
    </xdr:from>
    <xdr:to>
      <xdr:col>22</xdr:col>
      <xdr:colOff>441158</xdr:colOff>
      <xdr:row>36</xdr:row>
      <xdr:rowOff>50135</xdr:rowOff>
    </xdr:to>
    <xdr:sp macro="" textlink="">
      <xdr:nvSpPr>
        <xdr:cNvPr id="55" name="Rectangle: Rounded Corners 54">
          <a:extLst>
            <a:ext uri="{FF2B5EF4-FFF2-40B4-BE49-F238E27FC236}">
              <a16:creationId xmlns:a16="http://schemas.microsoft.com/office/drawing/2014/main" id="{C0551617-AD75-99C0-70C2-3453BBDE8A3F}"/>
            </a:ext>
          </a:extLst>
        </xdr:cNvPr>
        <xdr:cNvSpPr/>
      </xdr:nvSpPr>
      <xdr:spPr>
        <a:xfrm>
          <a:off x="1764632" y="5554582"/>
          <a:ext cx="12131842" cy="631658"/>
        </a:xfrm>
        <a:prstGeom prst="roundRect">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a:solidFill>
                <a:schemeClr val="bg2">
                  <a:lumMod val="85000"/>
                </a:schemeClr>
              </a:solidFill>
            </a:rPr>
            <a:t>Performance Leaderboards</a:t>
          </a:r>
          <a:endParaRPr lang="en-NG" sz="2800">
            <a:solidFill>
              <a:schemeClr val="bg2">
                <a:lumMod val="85000"/>
              </a:schemeClr>
            </a:solidFill>
          </a:endParaRPr>
        </a:p>
      </xdr:txBody>
    </xdr:sp>
    <xdr:clientData/>
  </xdr:twoCellAnchor>
  <xdr:twoCellAnchor>
    <xdr:from>
      <xdr:col>4</xdr:col>
      <xdr:colOff>279400</xdr:colOff>
      <xdr:row>38</xdr:row>
      <xdr:rowOff>45126</xdr:rowOff>
    </xdr:from>
    <xdr:to>
      <xdr:col>12</xdr:col>
      <xdr:colOff>381000</xdr:colOff>
      <xdr:row>53</xdr:row>
      <xdr:rowOff>32425</xdr:rowOff>
    </xdr:to>
    <xdr:grpSp>
      <xdr:nvGrpSpPr>
        <xdr:cNvPr id="3" name="Group 2">
          <a:extLst>
            <a:ext uri="{FF2B5EF4-FFF2-40B4-BE49-F238E27FC236}">
              <a16:creationId xmlns:a16="http://schemas.microsoft.com/office/drawing/2014/main" id="{97DE6413-9CB2-A131-5A4D-E6DB81468512}"/>
            </a:ext>
          </a:extLst>
        </xdr:cNvPr>
        <xdr:cNvGrpSpPr/>
      </xdr:nvGrpSpPr>
      <xdr:grpSpPr>
        <a:xfrm>
          <a:off x="2711938" y="6448857"/>
          <a:ext cx="4966677" cy="2515087"/>
          <a:chOff x="2727036" y="6626035"/>
          <a:chExt cx="4996873" cy="2585026"/>
        </a:xfrm>
      </xdr:grpSpPr>
      <xdr:sp macro="" textlink="">
        <xdr:nvSpPr>
          <xdr:cNvPr id="57" name="Rectangle: Rounded Corners 56">
            <a:extLst>
              <a:ext uri="{FF2B5EF4-FFF2-40B4-BE49-F238E27FC236}">
                <a16:creationId xmlns:a16="http://schemas.microsoft.com/office/drawing/2014/main" id="{90FA8F96-EE9B-2725-29A6-9C284537C7E6}"/>
              </a:ext>
            </a:extLst>
          </xdr:cNvPr>
          <xdr:cNvSpPr/>
        </xdr:nvSpPr>
        <xdr:spPr>
          <a:xfrm>
            <a:off x="2727036" y="6626035"/>
            <a:ext cx="4996873" cy="2585026"/>
          </a:xfrm>
          <a:prstGeom prst="roundRect">
            <a:avLst/>
          </a:prstGeom>
          <a:solidFill>
            <a:schemeClr val="bg1">
              <a:lumMod val="95000"/>
            </a:schemeClr>
          </a:solidFill>
          <a:ln>
            <a:noFill/>
          </a:ln>
          <a:effectLst>
            <a:outerShdw blurRad="63500" sx="102000" sy="102000" algn="c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59" name="Chart 58">
            <a:extLst>
              <a:ext uri="{FF2B5EF4-FFF2-40B4-BE49-F238E27FC236}">
                <a16:creationId xmlns:a16="http://schemas.microsoft.com/office/drawing/2014/main" id="{52BA77F2-163D-4630-89CB-B3DDC9DBF5BD}"/>
              </a:ext>
            </a:extLst>
          </xdr:cNvPr>
          <xdr:cNvGraphicFramePr>
            <a:graphicFrameLocks/>
          </xdr:cNvGraphicFramePr>
        </xdr:nvGraphicFramePr>
        <xdr:xfrm>
          <a:off x="2794873" y="6635243"/>
          <a:ext cx="4751236" cy="2384843"/>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13</xdr:col>
      <xdr:colOff>480646</xdr:colOff>
      <xdr:row>38</xdr:row>
      <xdr:rowOff>45126</xdr:rowOff>
    </xdr:from>
    <xdr:to>
      <xdr:col>20</xdr:col>
      <xdr:colOff>252046</xdr:colOff>
      <xdr:row>53</xdr:row>
      <xdr:rowOff>32425</xdr:rowOff>
    </xdr:to>
    <xdr:grpSp>
      <xdr:nvGrpSpPr>
        <xdr:cNvPr id="11" name="Group 10">
          <a:extLst>
            <a:ext uri="{FF2B5EF4-FFF2-40B4-BE49-F238E27FC236}">
              <a16:creationId xmlns:a16="http://schemas.microsoft.com/office/drawing/2014/main" id="{14613F08-6239-173A-99B1-0669764EC27C}"/>
            </a:ext>
          </a:extLst>
        </xdr:cNvPr>
        <xdr:cNvGrpSpPr/>
      </xdr:nvGrpSpPr>
      <xdr:grpSpPr>
        <a:xfrm>
          <a:off x="8386396" y="6448857"/>
          <a:ext cx="4028342" cy="2515087"/>
          <a:chOff x="8435464" y="6626035"/>
          <a:chExt cx="4054764" cy="2585026"/>
        </a:xfrm>
      </xdr:grpSpPr>
      <xdr:sp macro="" textlink="">
        <xdr:nvSpPr>
          <xdr:cNvPr id="60" name="Rectangle: Rounded Corners 59">
            <a:extLst>
              <a:ext uri="{FF2B5EF4-FFF2-40B4-BE49-F238E27FC236}">
                <a16:creationId xmlns:a16="http://schemas.microsoft.com/office/drawing/2014/main" id="{3501DDFD-223D-CF42-8175-65B79B6747C3}"/>
              </a:ext>
            </a:extLst>
          </xdr:cNvPr>
          <xdr:cNvSpPr/>
        </xdr:nvSpPr>
        <xdr:spPr>
          <a:xfrm>
            <a:off x="8435464" y="6626035"/>
            <a:ext cx="4054764" cy="2585026"/>
          </a:xfrm>
          <a:prstGeom prst="roundRect">
            <a:avLst/>
          </a:prstGeom>
          <a:solidFill>
            <a:schemeClr val="bg1">
              <a:lumMod val="95000"/>
            </a:schemeClr>
          </a:solidFill>
          <a:ln>
            <a:noFill/>
          </a:ln>
          <a:effectLst>
            <a:outerShdw blurRad="63500" sx="102000" sy="102000" algn="c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61" name="Chart 60">
            <a:extLst>
              <a:ext uri="{FF2B5EF4-FFF2-40B4-BE49-F238E27FC236}">
                <a16:creationId xmlns:a16="http://schemas.microsoft.com/office/drawing/2014/main" id="{029868D4-1542-452C-8A77-B09F2BA8557D}"/>
              </a:ext>
            </a:extLst>
          </xdr:cNvPr>
          <xdr:cNvGraphicFramePr>
            <a:graphicFrameLocks/>
          </xdr:cNvGraphicFramePr>
        </xdr:nvGraphicFramePr>
        <xdr:xfrm>
          <a:off x="8507753" y="6639522"/>
          <a:ext cx="3859518" cy="237470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oneCell">
    <xdr:from>
      <xdr:col>14</xdr:col>
      <xdr:colOff>300180</xdr:colOff>
      <xdr:row>0</xdr:row>
      <xdr:rowOff>11545</xdr:rowOff>
    </xdr:from>
    <xdr:to>
      <xdr:col>14</xdr:col>
      <xdr:colOff>528783</xdr:colOff>
      <xdr:row>1</xdr:row>
      <xdr:rowOff>66966</xdr:rowOff>
    </xdr:to>
    <xdr:pic>
      <xdr:nvPicPr>
        <xdr:cNvPr id="14" name="Picture 13">
          <a:extLst>
            <a:ext uri="{FF2B5EF4-FFF2-40B4-BE49-F238E27FC236}">
              <a16:creationId xmlns:a16="http://schemas.microsoft.com/office/drawing/2014/main" id="{D689E8F6-2F0F-F17B-1BED-E101C9F8BFC0}"/>
            </a:ext>
          </a:extLst>
        </xdr:cNvPr>
        <xdr:cNvPicPr>
          <a:picLocks noChangeAspect="1"/>
        </xdr:cNvPicPr>
      </xdr:nvPicPr>
      <xdr:blipFill>
        <a:blip xmlns:r="http://schemas.openxmlformats.org/officeDocument/2006/relationships" r:embed="rId1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866907" y="11545"/>
          <a:ext cx="228603" cy="228603"/>
        </a:xfrm>
        <a:prstGeom prst="rect">
          <a:avLst/>
        </a:prstGeom>
      </xdr:spPr>
    </xdr:pic>
    <xdr:clientData/>
  </xdr:twoCellAnchor>
  <xdr:twoCellAnchor editAs="oneCell">
    <xdr:from>
      <xdr:col>19</xdr:col>
      <xdr:colOff>576068</xdr:colOff>
      <xdr:row>0</xdr:row>
      <xdr:rowOff>34635</xdr:rowOff>
    </xdr:from>
    <xdr:to>
      <xdr:col>20</xdr:col>
      <xdr:colOff>207818</xdr:colOff>
      <xdr:row>1</xdr:row>
      <xdr:rowOff>158686</xdr:rowOff>
    </xdr:to>
    <xdr:pic>
      <xdr:nvPicPr>
        <xdr:cNvPr id="23" name="Picture 22">
          <a:extLst>
            <a:ext uri="{FF2B5EF4-FFF2-40B4-BE49-F238E27FC236}">
              <a16:creationId xmlns:a16="http://schemas.microsoft.com/office/drawing/2014/main" id="{170BB173-91BD-A558-9F4A-6248EC7533F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02341" y="34635"/>
          <a:ext cx="243659" cy="297233"/>
        </a:xfrm>
        <a:prstGeom prst="rect">
          <a:avLst/>
        </a:prstGeom>
      </xdr:spPr>
    </xdr:pic>
    <xdr:clientData/>
  </xdr:twoCellAnchor>
  <xdr:twoCellAnchor editAs="oneCell">
    <xdr:from>
      <xdr:col>17</xdr:col>
      <xdr:colOff>34636</xdr:colOff>
      <xdr:row>0</xdr:row>
      <xdr:rowOff>2</xdr:rowOff>
    </xdr:from>
    <xdr:to>
      <xdr:col>17</xdr:col>
      <xdr:colOff>311726</xdr:colOff>
      <xdr:row>1</xdr:row>
      <xdr:rowOff>103910</xdr:rowOff>
    </xdr:to>
    <xdr:pic>
      <xdr:nvPicPr>
        <xdr:cNvPr id="35" name="Picture 34">
          <a:extLst>
            <a:ext uri="{FF2B5EF4-FFF2-40B4-BE49-F238E27FC236}">
              <a16:creationId xmlns:a16="http://schemas.microsoft.com/office/drawing/2014/main" id="{E0DA2AD1-AF32-131E-5721-EFC2487191B6}"/>
            </a:ext>
          </a:extLst>
        </xdr:cNvPr>
        <xdr:cNvPicPr>
          <a:picLocks noChangeAspect="1"/>
        </xdr:cNvPicPr>
      </xdr:nvPicPr>
      <xdr:blipFill>
        <a:blip xmlns:r="http://schemas.openxmlformats.org/officeDocument/2006/relationships" r:embed="rId13" cstate="print">
          <a:duotone>
            <a:prstClr val="black"/>
            <a:schemeClr val="accent4">
              <a:tint val="45000"/>
              <a:satMod val="400000"/>
            </a:schemeClr>
          </a:duotone>
          <a:extLst>
            <a:ext uri="{28A0092B-C50C-407E-A947-70E740481C1C}">
              <a14:useLocalDpi xmlns:a14="http://schemas.microsoft.com/office/drawing/2010/main" val="0"/>
            </a:ext>
          </a:extLst>
        </a:blip>
        <a:stretch>
          <a:fillRect/>
        </a:stretch>
      </xdr:blipFill>
      <xdr:spPr>
        <a:xfrm>
          <a:off x="10437091" y="2"/>
          <a:ext cx="277090" cy="2770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17</xdr:col>
      <xdr:colOff>0</xdr:colOff>
      <xdr:row>10</xdr:row>
      <xdr:rowOff>60960</xdr:rowOff>
    </xdr:to>
    <xdr:sp macro="" textlink="">
      <xdr:nvSpPr>
        <xdr:cNvPr id="2" name="Rectangle 1">
          <a:extLst>
            <a:ext uri="{FF2B5EF4-FFF2-40B4-BE49-F238E27FC236}">
              <a16:creationId xmlns:a16="http://schemas.microsoft.com/office/drawing/2014/main" id="{7C612B6B-3286-4D5A-A972-2BF4DCEA92FF}"/>
            </a:ext>
          </a:extLst>
        </xdr:cNvPr>
        <xdr:cNvSpPr/>
      </xdr:nvSpPr>
      <xdr:spPr>
        <a:xfrm>
          <a:off x="0" y="523875"/>
          <a:ext cx="16351250" cy="1283335"/>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15240</xdr:colOff>
      <xdr:row>0</xdr:row>
      <xdr:rowOff>15240</xdr:rowOff>
    </xdr:from>
    <xdr:to>
      <xdr:col>17</xdr:col>
      <xdr:colOff>0</xdr:colOff>
      <xdr:row>3</xdr:row>
      <xdr:rowOff>152400</xdr:rowOff>
    </xdr:to>
    <xdr:sp macro="" textlink="">
      <xdr:nvSpPr>
        <xdr:cNvPr id="3" name="Rectangle 2">
          <a:extLst>
            <a:ext uri="{FF2B5EF4-FFF2-40B4-BE49-F238E27FC236}">
              <a16:creationId xmlns:a16="http://schemas.microsoft.com/office/drawing/2014/main" id="{40293C38-4CA6-475F-829B-7590907A8306}"/>
            </a:ext>
          </a:extLst>
        </xdr:cNvPr>
        <xdr:cNvSpPr/>
      </xdr:nvSpPr>
      <xdr:spPr>
        <a:xfrm>
          <a:off x="15240" y="15240"/>
          <a:ext cx="16336010" cy="661035"/>
        </a:xfrm>
        <a:prstGeom prst="rect">
          <a:avLst/>
        </a:prstGeom>
        <a:solidFill>
          <a:schemeClr val="bg2">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251460</xdr:colOff>
      <xdr:row>0</xdr:row>
      <xdr:rowOff>7620</xdr:rowOff>
    </xdr:from>
    <xdr:to>
      <xdr:col>2</xdr:col>
      <xdr:colOff>137160</xdr:colOff>
      <xdr:row>3</xdr:row>
      <xdr:rowOff>141514</xdr:rowOff>
    </xdr:to>
    <xdr:pic>
      <xdr:nvPicPr>
        <xdr:cNvPr id="4" name="Picture 3">
          <a:extLst>
            <a:ext uri="{FF2B5EF4-FFF2-40B4-BE49-F238E27FC236}">
              <a16:creationId xmlns:a16="http://schemas.microsoft.com/office/drawing/2014/main" id="{8BE474EE-0039-48D0-BCED-46542EA3D50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234" r="25155"/>
        <a:stretch>
          <a:fillRect/>
        </a:stretch>
      </xdr:blipFill>
      <xdr:spPr>
        <a:xfrm>
          <a:off x="861060" y="7620"/>
          <a:ext cx="495300" cy="636814"/>
        </a:xfrm>
        <a:prstGeom prst="rect">
          <a:avLst/>
        </a:prstGeom>
      </xdr:spPr>
    </xdr:pic>
    <xdr:clientData/>
  </xdr:twoCellAnchor>
  <xdr:twoCellAnchor>
    <xdr:from>
      <xdr:col>2</xdr:col>
      <xdr:colOff>129540</xdr:colOff>
      <xdr:row>0</xdr:row>
      <xdr:rowOff>76200</xdr:rowOff>
    </xdr:from>
    <xdr:to>
      <xdr:col>6</xdr:col>
      <xdr:colOff>518160</xdr:colOff>
      <xdr:row>2</xdr:row>
      <xdr:rowOff>76200</xdr:rowOff>
    </xdr:to>
    <xdr:sp macro="" textlink="">
      <xdr:nvSpPr>
        <xdr:cNvPr id="5" name="TextBox 4">
          <a:extLst>
            <a:ext uri="{FF2B5EF4-FFF2-40B4-BE49-F238E27FC236}">
              <a16:creationId xmlns:a16="http://schemas.microsoft.com/office/drawing/2014/main" id="{1103E405-D90B-467D-B566-A9946F2B9E14}"/>
            </a:ext>
          </a:extLst>
        </xdr:cNvPr>
        <xdr:cNvSpPr txBox="1"/>
      </xdr:nvSpPr>
      <xdr:spPr>
        <a:xfrm>
          <a:off x="1348740" y="76200"/>
          <a:ext cx="28270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800" b="1">
              <a:solidFill>
                <a:schemeClr val="bg2">
                  <a:lumMod val="65000"/>
                </a:schemeClr>
              </a:solidFill>
            </a:rPr>
            <a:t>INDEPENDENT</a:t>
          </a:r>
          <a:endParaRPr lang="en-NG" sz="2800" b="1">
            <a:solidFill>
              <a:schemeClr val="bg2">
                <a:lumMod val="65000"/>
              </a:schemeClr>
            </a:solidFill>
          </a:endParaRPr>
        </a:p>
      </xdr:txBody>
    </xdr:sp>
    <xdr:clientData/>
  </xdr:twoCellAnchor>
  <xdr:twoCellAnchor>
    <xdr:from>
      <xdr:col>2</xdr:col>
      <xdr:colOff>137160</xdr:colOff>
      <xdr:row>1</xdr:row>
      <xdr:rowOff>160020</xdr:rowOff>
    </xdr:from>
    <xdr:to>
      <xdr:col>7</xdr:col>
      <xdr:colOff>76200</xdr:colOff>
      <xdr:row>3</xdr:row>
      <xdr:rowOff>160020</xdr:rowOff>
    </xdr:to>
    <xdr:sp macro="" textlink="">
      <xdr:nvSpPr>
        <xdr:cNvPr id="6" name="TextBox 5">
          <a:extLst>
            <a:ext uri="{FF2B5EF4-FFF2-40B4-BE49-F238E27FC236}">
              <a16:creationId xmlns:a16="http://schemas.microsoft.com/office/drawing/2014/main" id="{8D244D9D-A40F-432C-9C60-E566D6973F45}"/>
            </a:ext>
          </a:extLst>
        </xdr:cNvPr>
        <xdr:cNvSpPr txBox="1"/>
      </xdr:nvSpPr>
      <xdr:spPr>
        <a:xfrm>
          <a:off x="1356360" y="327660"/>
          <a:ext cx="29870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500">
              <a:solidFill>
                <a:srgbClr val="00B050"/>
              </a:solidFill>
            </a:rPr>
            <a:t>National Electoral</a:t>
          </a:r>
          <a:r>
            <a:rPr lang="en-US" sz="1500" baseline="0">
              <a:solidFill>
                <a:srgbClr val="00B050"/>
              </a:solidFill>
            </a:rPr>
            <a:t> Commission</a:t>
          </a:r>
          <a:endParaRPr lang="en-NG" sz="1500">
            <a:solidFill>
              <a:srgbClr val="00B050"/>
            </a:solidFill>
          </a:endParaRPr>
        </a:p>
      </xdr:txBody>
    </xdr:sp>
    <xdr:clientData/>
  </xdr:twoCellAnchor>
  <xdr:twoCellAnchor>
    <xdr:from>
      <xdr:col>9</xdr:col>
      <xdr:colOff>739486</xdr:colOff>
      <xdr:row>1</xdr:row>
      <xdr:rowOff>106680</xdr:rowOff>
    </xdr:from>
    <xdr:to>
      <xdr:col>16</xdr:col>
      <xdr:colOff>480405</xdr:colOff>
      <xdr:row>4</xdr:row>
      <xdr:rowOff>53340</xdr:rowOff>
    </xdr:to>
    <xdr:sp macro="" textlink="">
      <xdr:nvSpPr>
        <xdr:cNvPr id="7" name="TextBox 6">
          <a:extLst>
            <a:ext uri="{FF2B5EF4-FFF2-40B4-BE49-F238E27FC236}">
              <a16:creationId xmlns:a16="http://schemas.microsoft.com/office/drawing/2014/main" id="{40BD5FFB-C12E-44B3-B3E3-4B224F87E8CD}"/>
            </a:ext>
          </a:extLst>
        </xdr:cNvPr>
        <xdr:cNvSpPr txBox="1"/>
      </xdr:nvSpPr>
      <xdr:spPr>
        <a:xfrm>
          <a:off x="11059616" y="272332"/>
          <a:ext cx="5257137" cy="44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1">
              <a:solidFill>
                <a:srgbClr val="00B050"/>
              </a:solidFill>
            </a:rPr>
            <a:t>National Election Results Overview</a:t>
          </a:r>
        </a:p>
        <a:p>
          <a:pPr algn="l"/>
          <a:r>
            <a:rPr lang="en-US" sz="1050">
              <a:solidFill>
                <a:srgbClr val="00B050"/>
              </a:solidFill>
            </a:rPr>
            <a:t>Interactive analysis of voter participation and party performance across polling units.</a:t>
          </a:r>
          <a:endParaRPr lang="en-NG" sz="1050">
            <a:solidFill>
              <a:srgbClr val="00B050"/>
            </a:solidFill>
          </a:endParaRPr>
        </a:p>
      </xdr:txBody>
    </xdr:sp>
    <xdr:clientData/>
  </xdr:twoCellAnchor>
  <xdr:twoCellAnchor editAs="absolute">
    <xdr:from>
      <xdr:col>1</xdr:col>
      <xdr:colOff>541020</xdr:colOff>
      <xdr:row>5</xdr:row>
      <xdr:rowOff>60960</xdr:rowOff>
    </xdr:from>
    <xdr:to>
      <xdr:col>3</xdr:col>
      <xdr:colOff>388620</xdr:colOff>
      <xdr:row>10</xdr:row>
      <xdr:rowOff>22860</xdr:rowOff>
    </xdr:to>
    <xdr:sp macro="" textlink="Sheet7!B24">
      <xdr:nvSpPr>
        <xdr:cNvPr id="11" name="Rectangle: Rounded Corners 10">
          <a:extLst>
            <a:ext uri="{FF2B5EF4-FFF2-40B4-BE49-F238E27FC236}">
              <a16:creationId xmlns:a16="http://schemas.microsoft.com/office/drawing/2014/main" id="{1CB70E72-CFC0-4363-B80A-F13BCD94C4C1}"/>
            </a:ext>
          </a:extLst>
        </xdr:cNvPr>
        <xdr:cNvSpPr/>
      </xdr:nvSpPr>
      <xdr:spPr>
        <a:xfrm>
          <a:off x="11506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C99B203-46D7-424F-A88D-38C86D646985}" type="TxLink">
            <a:rPr lang="en-US" sz="4000" b="1" i="0" u="none" strike="noStrike">
              <a:solidFill>
                <a:schemeClr val="accent4"/>
              </a:solidFill>
              <a:latin typeface="Arial"/>
              <a:cs typeface="Arial"/>
            </a:rPr>
            <a:pPr algn="ctr"/>
            <a:t>8</a:t>
          </a:fld>
          <a:endParaRPr lang="en-NG" sz="4000" b="1">
            <a:solidFill>
              <a:schemeClr val="accent4"/>
            </a:solidFill>
          </a:endParaRPr>
        </a:p>
      </xdr:txBody>
    </xdr:sp>
    <xdr:clientData/>
  </xdr:twoCellAnchor>
  <xdr:twoCellAnchor editAs="absolute">
    <xdr:from>
      <xdr:col>4</xdr:col>
      <xdr:colOff>259080</xdr:colOff>
      <xdr:row>5</xdr:row>
      <xdr:rowOff>60960</xdr:rowOff>
    </xdr:from>
    <xdr:to>
      <xdr:col>5</xdr:col>
      <xdr:colOff>511520</xdr:colOff>
      <xdr:row>10</xdr:row>
      <xdr:rowOff>22860</xdr:rowOff>
    </xdr:to>
    <xdr:sp macro="" textlink="Sheet7!B28">
      <xdr:nvSpPr>
        <xdr:cNvPr id="12" name="Rectangle: Rounded Corners 11">
          <a:extLst>
            <a:ext uri="{FF2B5EF4-FFF2-40B4-BE49-F238E27FC236}">
              <a16:creationId xmlns:a16="http://schemas.microsoft.com/office/drawing/2014/main" id="{08BB8501-5D26-43E5-B941-AE524393222B}"/>
            </a:ext>
          </a:extLst>
        </xdr:cNvPr>
        <xdr:cNvSpPr/>
      </xdr:nvSpPr>
      <xdr:spPr>
        <a:xfrm>
          <a:off x="269748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7868EA5-DF04-4E3D-9D11-82FBA27E5EEA}" type="TxLink">
            <a:rPr lang="en-US" sz="4000" b="1" i="0" u="none" strike="noStrike">
              <a:solidFill>
                <a:srgbClr val="00B050"/>
              </a:solidFill>
              <a:latin typeface="Arial"/>
              <a:cs typeface="Arial"/>
            </a:rPr>
            <a:pPr algn="ctr"/>
            <a:t>1</a:t>
          </a:fld>
          <a:endParaRPr lang="en-NG" sz="4000" b="1">
            <a:solidFill>
              <a:srgbClr val="00B050"/>
            </a:solidFill>
          </a:endParaRPr>
        </a:p>
      </xdr:txBody>
    </xdr:sp>
    <xdr:clientData/>
  </xdr:twoCellAnchor>
  <xdr:twoCellAnchor editAs="absolute">
    <xdr:from>
      <xdr:col>5</xdr:col>
      <xdr:colOff>972834</xdr:colOff>
      <xdr:row>5</xdr:row>
      <xdr:rowOff>60960</xdr:rowOff>
    </xdr:from>
    <xdr:to>
      <xdr:col>6</xdr:col>
      <xdr:colOff>909944</xdr:colOff>
      <xdr:row>10</xdr:row>
      <xdr:rowOff>22860</xdr:rowOff>
    </xdr:to>
    <xdr:sp macro="" textlink="Sheet7!B37">
      <xdr:nvSpPr>
        <xdr:cNvPr id="13" name="Rectangle: Rounded Corners 12">
          <a:extLst>
            <a:ext uri="{FF2B5EF4-FFF2-40B4-BE49-F238E27FC236}">
              <a16:creationId xmlns:a16="http://schemas.microsoft.com/office/drawing/2014/main" id="{9145A6B8-8E0C-4010-8E06-F97804FB4600}"/>
            </a:ext>
          </a:extLst>
        </xdr:cNvPr>
        <xdr:cNvSpPr/>
      </xdr:nvSpPr>
      <xdr:spPr>
        <a:xfrm>
          <a:off x="42367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BFEDD79-D728-4396-BA35-CBE75131D14E}" type="TxLink">
            <a:rPr lang="en-US" sz="3600" b="1" i="0" u="none" strike="noStrike">
              <a:solidFill>
                <a:srgbClr val="00B050"/>
              </a:solidFill>
              <a:latin typeface="Arial"/>
              <a:cs typeface="Arial"/>
            </a:rPr>
            <a:pPr algn="ctr"/>
            <a:t>97</a:t>
          </a:fld>
          <a:endParaRPr lang="en-NG" sz="3600" b="1">
            <a:solidFill>
              <a:srgbClr val="00B050"/>
            </a:solidFill>
          </a:endParaRPr>
        </a:p>
      </xdr:txBody>
    </xdr:sp>
    <xdr:clientData/>
  </xdr:twoCellAnchor>
  <xdr:twoCellAnchor editAs="absolute">
    <xdr:from>
      <xdr:col>7</xdr:col>
      <xdr:colOff>341380</xdr:colOff>
      <xdr:row>5</xdr:row>
      <xdr:rowOff>60960</xdr:rowOff>
    </xdr:from>
    <xdr:to>
      <xdr:col>7</xdr:col>
      <xdr:colOff>1417422</xdr:colOff>
      <xdr:row>10</xdr:row>
      <xdr:rowOff>22860</xdr:rowOff>
    </xdr:to>
    <xdr:sp macro="" textlink="Sheet7!B32">
      <xdr:nvSpPr>
        <xdr:cNvPr id="14" name="Rectangle: Rounded Corners 13">
          <a:extLst>
            <a:ext uri="{FF2B5EF4-FFF2-40B4-BE49-F238E27FC236}">
              <a16:creationId xmlns:a16="http://schemas.microsoft.com/office/drawing/2014/main" id="{A7A82E9F-46C3-42A1-A096-949F0C327517}"/>
            </a:ext>
          </a:extLst>
        </xdr:cNvPr>
        <xdr:cNvSpPr/>
      </xdr:nvSpPr>
      <xdr:spPr>
        <a:xfrm>
          <a:off x="57607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35EF1F8-ECDC-4177-9239-7718957F8BD4}" type="TxLink">
            <a:rPr lang="en-US" sz="1950" b="1" i="0" u="none" strike="noStrike">
              <a:solidFill>
                <a:srgbClr val="00B050"/>
              </a:solidFill>
              <a:latin typeface="Arial"/>
              <a:cs typeface="Arial"/>
            </a:rPr>
            <a:pPr algn="ctr"/>
            <a:t>108.4K</a:t>
          </a:fld>
          <a:endParaRPr lang="en-NG" sz="1950" b="1">
            <a:solidFill>
              <a:srgbClr val="00B050"/>
            </a:solidFill>
          </a:endParaRPr>
        </a:p>
      </xdr:txBody>
    </xdr:sp>
    <xdr:clientData/>
  </xdr:twoCellAnchor>
  <xdr:twoCellAnchor editAs="absolute">
    <xdr:from>
      <xdr:col>8</xdr:col>
      <xdr:colOff>72825</xdr:colOff>
      <xdr:row>5</xdr:row>
      <xdr:rowOff>60960</xdr:rowOff>
    </xdr:from>
    <xdr:to>
      <xdr:col>9</xdr:col>
      <xdr:colOff>322424</xdr:colOff>
      <xdr:row>10</xdr:row>
      <xdr:rowOff>22860</xdr:rowOff>
    </xdr:to>
    <xdr:sp macro="" textlink="Sheet7!B53">
      <xdr:nvSpPr>
        <xdr:cNvPr id="15" name="Rectangle: Rounded Corners 14">
          <a:extLst>
            <a:ext uri="{FF2B5EF4-FFF2-40B4-BE49-F238E27FC236}">
              <a16:creationId xmlns:a16="http://schemas.microsoft.com/office/drawing/2014/main" id="{7EB6788C-B4F0-4000-8795-CB77BB46245B}"/>
            </a:ext>
          </a:extLst>
        </xdr:cNvPr>
        <xdr:cNvSpPr/>
      </xdr:nvSpPr>
      <xdr:spPr>
        <a:xfrm>
          <a:off x="725424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4D9521-A06E-49DB-9A0A-0B02C057ABC4}" type="TxLink">
            <a:rPr lang="en-US" sz="1950" b="1" i="0" u="none" strike="noStrike">
              <a:solidFill>
                <a:srgbClr val="00B050"/>
              </a:solidFill>
              <a:latin typeface="Arial"/>
              <a:cs typeface="Arial"/>
            </a:rPr>
            <a:pPr algn="ctr"/>
            <a:t>107.0K</a:t>
          </a:fld>
          <a:endParaRPr lang="en-NG" sz="1950" b="1">
            <a:solidFill>
              <a:srgbClr val="00B050"/>
            </a:solidFill>
          </a:endParaRPr>
        </a:p>
      </xdr:txBody>
    </xdr:sp>
    <xdr:clientData/>
  </xdr:twoCellAnchor>
  <xdr:twoCellAnchor editAs="absolute">
    <xdr:from>
      <xdr:col>9</xdr:col>
      <xdr:colOff>792429</xdr:colOff>
      <xdr:row>5</xdr:row>
      <xdr:rowOff>60960</xdr:rowOff>
    </xdr:from>
    <xdr:to>
      <xdr:col>11</xdr:col>
      <xdr:colOff>117134</xdr:colOff>
      <xdr:row>10</xdr:row>
      <xdr:rowOff>22860</xdr:rowOff>
    </xdr:to>
    <xdr:sp macro="" textlink="Sheet7!B41">
      <xdr:nvSpPr>
        <xdr:cNvPr id="16" name="Rectangle: Rounded Corners 15">
          <a:extLst>
            <a:ext uri="{FF2B5EF4-FFF2-40B4-BE49-F238E27FC236}">
              <a16:creationId xmlns:a16="http://schemas.microsoft.com/office/drawing/2014/main" id="{1BE1E6F7-1130-4F9B-93DC-C48733F9E444}"/>
            </a:ext>
          </a:extLst>
        </xdr:cNvPr>
        <xdr:cNvSpPr/>
      </xdr:nvSpPr>
      <xdr:spPr>
        <a:xfrm>
          <a:off x="880110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EDBD57A-06C7-48A0-8F8C-2EA7B49DC71A}" type="TxLink">
            <a:rPr lang="en-US" sz="1950" b="1" i="0" u="none" strike="noStrike">
              <a:solidFill>
                <a:srgbClr val="00B050"/>
              </a:solidFill>
              <a:latin typeface="Arial"/>
              <a:cs typeface="Arial"/>
            </a:rPr>
            <a:pPr algn="ctr"/>
            <a:t>53.8K</a:t>
          </a:fld>
          <a:endParaRPr lang="en-NG" sz="1950" b="1">
            <a:solidFill>
              <a:srgbClr val="00B050"/>
            </a:solidFill>
          </a:endParaRPr>
        </a:p>
      </xdr:txBody>
    </xdr:sp>
    <xdr:clientData/>
  </xdr:twoCellAnchor>
  <xdr:twoCellAnchor editAs="absolute">
    <xdr:from>
      <xdr:col>12</xdr:col>
      <xdr:colOff>9357</xdr:colOff>
      <xdr:row>5</xdr:row>
      <xdr:rowOff>60960</xdr:rowOff>
    </xdr:from>
    <xdr:to>
      <xdr:col>13</xdr:col>
      <xdr:colOff>461179</xdr:colOff>
      <xdr:row>10</xdr:row>
      <xdr:rowOff>22860</xdr:rowOff>
    </xdr:to>
    <xdr:sp macro="" textlink="Sheet7!B45">
      <xdr:nvSpPr>
        <xdr:cNvPr id="17" name="Rectangle: Rounded Corners 16">
          <a:extLst>
            <a:ext uri="{FF2B5EF4-FFF2-40B4-BE49-F238E27FC236}">
              <a16:creationId xmlns:a16="http://schemas.microsoft.com/office/drawing/2014/main" id="{02C5CEC7-CEE9-4C40-A194-69660648D813}"/>
            </a:ext>
          </a:extLst>
        </xdr:cNvPr>
        <xdr:cNvSpPr/>
      </xdr:nvSpPr>
      <xdr:spPr>
        <a:xfrm>
          <a:off x="1037844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F997DB9-F49E-4DC2-A0ED-DC7C2B82CCA0}" type="TxLink">
            <a:rPr lang="en-US" sz="1950" b="1" i="0" u="none" strike="noStrike">
              <a:solidFill>
                <a:srgbClr val="00B050"/>
              </a:solidFill>
              <a:latin typeface="Arial"/>
              <a:cs typeface="Arial"/>
            </a:rPr>
            <a:pPr algn="ctr"/>
            <a:t>51.2K</a:t>
          </a:fld>
          <a:endParaRPr lang="en-NG" sz="1950" b="1">
            <a:solidFill>
              <a:srgbClr val="00B050"/>
            </a:solidFill>
          </a:endParaRPr>
        </a:p>
      </xdr:txBody>
    </xdr:sp>
    <xdr:clientData/>
  </xdr:twoCellAnchor>
  <xdr:twoCellAnchor editAs="absolute">
    <xdr:from>
      <xdr:col>14</xdr:col>
      <xdr:colOff>337949</xdr:colOff>
      <xdr:row>5</xdr:row>
      <xdr:rowOff>60960</xdr:rowOff>
    </xdr:from>
    <xdr:to>
      <xdr:col>16</xdr:col>
      <xdr:colOff>185551</xdr:colOff>
      <xdr:row>10</xdr:row>
      <xdr:rowOff>22860</xdr:rowOff>
    </xdr:to>
    <xdr:sp macro="" textlink="Sheet7!B49">
      <xdr:nvSpPr>
        <xdr:cNvPr id="18" name="Rectangle: Rounded Corners 17">
          <a:extLst>
            <a:ext uri="{FF2B5EF4-FFF2-40B4-BE49-F238E27FC236}">
              <a16:creationId xmlns:a16="http://schemas.microsoft.com/office/drawing/2014/main" id="{A5CDFDF3-9454-4C62-84FD-C09944C87EF9}"/>
            </a:ext>
          </a:extLst>
        </xdr:cNvPr>
        <xdr:cNvSpPr/>
      </xdr:nvSpPr>
      <xdr:spPr>
        <a:xfrm>
          <a:off x="11932920" y="899160"/>
          <a:ext cx="1066800" cy="800100"/>
        </a:xfrm>
        <a:prstGeom prst="roundRect">
          <a:avLst/>
        </a:prstGeom>
        <a:solidFill>
          <a:schemeClr val="bg2">
            <a:lumMod val="85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8A44175-C20B-4757-99F4-1A2E47588C88}" type="TxLink">
            <a:rPr lang="en-US" sz="1950" b="1" i="0" u="none" strike="noStrike">
              <a:solidFill>
                <a:srgbClr val="00B050"/>
              </a:solidFill>
              <a:latin typeface="Arial"/>
              <a:cs typeface="Arial"/>
            </a:rPr>
            <a:pPr algn="ctr"/>
            <a:t>2.1K</a:t>
          </a:fld>
          <a:endParaRPr lang="en-NG" sz="1950" b="1">
            <a:solidFill>
              <a:srgbClr val="00B050"/>
            </a:solidFill>
          </a:endParaRPr>
        </a:p>
      </xdr:txBody>
    </xdr:sp>
    <xdr:clientData/>
  </xdr:twoCellAnchor>
  <xdr:twoCellAnchor>
    <xdr:from>
      <xdr:col>0</xdr:col>
      <xdr:colOff>0</xdr:colOff>
      <xdr:row>10</xdr:row>
      <xdr:rowOff>50800</xdr:rowOff>
    </xdr:from>
    <xdr:to>
      <xdr:col>2</xdr:col>
      <xdr:colOff>355600</xdr:colOff>
      <xdr:row>39</xdr:row>
      <xdr:rowOff>95250</xdr:rowOff>
    </xdr:to>
    <xdr:sp macro="" textlink="">
      <xdr:nvSpPr>
        <xdr:cNvPr id="19" name="Rectangle 18">
          <a:extLst>
            <a:ext uri="{FF2B5EF4-FFF2-40B4-BE49-F238E27FC236}">
              <a16:creationId xmlns:a16="http://schemas.microsoft.com/office/drawing/2014/main" id="{ECFCC595-37F0-49F2-9366-7CEC25DD9B00}"/>
            </a:ext>
          </a:extLst>
        </xdr:cNvPr>
        <xdr:cNvSpPr/>
      </xdr:nvSpPr>
      <xdr:spPr>
        <a:xfrm>
          <a:off x="0" y="1797050"/>
          <a:ext cx="1562100" cy="5108575"/>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152400</xdr:colOff>
      <xdr:row>13</xdr:row>
      <xdr:rowOff>127000</xdr:rowOff>
    </xdr:from>
    <xdr:to>
      <xdr:col>2</xdr:col>
      <xdr:colOff>266700</xdr:colOff>
      <xdr:row>18</xdr:row>
      <xdr:rowOff>38100</xdr:rowOff>
    </xdr:to>
    <xdr:sp macro="" textlink="">
      <xdr:nvSpPr>
        <xdr:cNvPr id="20" name="TextBox 19">
          <a:hlinkClick xmlns:r="http://schemas.openxmlformats.org/officeDocument/2006/relationships" r:id="rId2"/>
          <a:extLst>
            <a:ext uri="{FF2B5EF4-FFF2-40B4-BE49-F238E27FC236}">
              <a16:creationId xmlns:a16="http://schemas.microsoft.com/office/drawing/2014/main" id="{780F4656-DEA9-4970-BFF1-237BD1DA8290}"/>
            </a:ext>
          </a:extLst>
        </xdr:cNvPr>
        <xdr:cNvSpPr txBox="1"/>
      </xdr:nvSpPr>
      <xdr:spPr>
        <a:xfrm>
          <a:off x="152400" y="2306320"/>
          <a:ext cx="1333500" cy="749300"/>
        </a:xfrm>
        <a:prstGeom prst="roundRect">
          <a:avLst>
            <a:gd name="adj" fmla="val 39744"/>
          </a:avLst>
        </a:prstGeom>
        <a:solidFill>
          <a:schemeClr val="bg1"/>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extrusionH="57150">
            <a:bevelT w="82550" h="38100" prst="coolSlant"/>
          </a:sp3d>
        </a:bodyPr>
        <a:lstStyle/>
        <a:p>
          <a:pPr algn="ctr"/>
          <a:r>
            <a:rPr lang="en-US" sz="1600" b="1">
              <a:solidFill>
                <a:srgbClr val="00B050"/>
              </a:solidFill>
            </a:rPr>
            <a:t>Executive Overview</a:t>
          </a:r>
          <a:endParaRPr lang="en-NG" sz="1600" b="1">
            <a:solidFill>
              <a:srgbClr val="00B050"/>
            </a:solidFill>
          </a:endParaRPr>
        </a:p>
      </xdr:txBody>
    </xdr:sp>
    <xdr:clientData/>
  </xdr:twoCellAnchor>
  <xdr:twoCellAnchor>
    <xdr:from>
      <xdr:col>0</xdr:col>
      <xdr:colOff>152400</xdr:colOff>
      <xdr:row>20</xdr:row>
      <xdr:rowOff>38100</xdr:rowOff>
    </xdr:from>
    <xdr:to>
      <xdr:col>2</xdr:col>
      <xdr:colOff>266700</xdr:colOff>
      <xdr:row>24</xdr:row>
      <xdr:rowOff>114300</xdr:rowOff>
    </xdr:to>
    <xdr:sp macro="" textlink="">
      <xdr:nvSpPr>
        <xdr:cNvPr id="21" name="TextBox 20">
          <a:extLst>
            <a:ext uri="{FF2B5EF4-FFF2-40B4-BE49-F238E27FC236}">
              <a16:creationId xmlns:a16="http://schemas.microsoft.com/office/drawing/2014/main" id="{C934EC45-D0D0-4916-9A7D-78D05E6CF9F8}"/>
            </a:ext>
          </a:extLst>
        </xdr:cNvPr>
        <xdr:cNvSpPr txBox="1"/>
      </xdr:nvSpPr>
      <xdr:spPr>
        <a:xfrm>
          <a:off x="152400" y="3390900"/>
          <a:ext cx="1333500" cy="746760"/>
        </a:xfrm>
        <a:prstGeom prst="roundRect">
          <a:avLst>
            <a:gd name="adj" fmla="val 39744"/>
          </a:avLst>
        </a:prstGeom>
        <a:solidFill>
          <a:schemeClr val="bg1"/>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prst="softRound"/>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extrusionH="57150">
            <a:bevelT w="82550" h="38100" prst="coolSlant"/>
          </a:sp3d>
        </a:bodyPr>
        <a:lstStyle/>
        <a:p>
          <a:pPr algn="ctr"/>
          <a:r>
            <a:rPr lang="en-US" sz="1600" b="1">
              <a:solidFill>
                <a:schemeClr val="bg2">
                  <a:lumMod val="50000"/>
                </a:schemeClr>
              </a:solidFill>
            </a:rPr>
            <a:t>Deep</a:t>
          </a:r>
        </a:p>
        <a:p>
          <a:pPr algn="ctr"/>
          <a:r>
            <a:rPr lang="en-US" sz="1600" b="1">
              <a:solidFill>
                <a:schemeClr val="bg2">
                  <a:lumMod val="50000"/>
                </a:schemeClr>
              </a:solidFill>
            </a:rPr>
            <a:t>Insights</a:t>
          </a:r>
          <a:endParaRPr lang="en-NG" sz="1600" b="1">
            <a:solidFill>
              <a:schemeClr val="bg2">
                <a:lumMod val="50000"/>
              </a:schemeClr>
            </a:solidFill>
          </a:endParaRPr>
        </a:p>
      </xdr:txBody>
    </xdr:sp>
    <xdr:clientData/>
  </xdr:twoCellAnchor>
  <xdr:twoCellAnchor>
    <xdr:from>
      <xdr:col>0</xdr:col>
      <xdr:colOff>152400</xdr:colOff>
      <xdr:row>27</xdr:row>
      <xdr:rowOff>0</xdr:rowOff>
    </xdr:from>
    <xdr:to>
      <xdr:col>2</xdr:col>
      <xdr:colOff>266700</xdr:colOff>
      <xdr:row>31</xdr:row>
      <xdr:rowOff>76200</xdr:rowOff>
    </xdr:to>
    <xdr:sp macro="" textlink="">
      <xdr:nvSpPr>
        <xdr:cNvPr id="22" name="TextBox 21">
          <a:hlinkClick xmlns:r="http://schemas.openxmlformats.org/officeDocument/2006/relationships" r:id="rId3"/>
          <a:extLst>
            <a:ext uri="{FF2B5EF4-FFF2-40B4-BE49-F238E27FC236}">
              <a16:creationId xmlns:a16="http://schemas.microsoft.com/office/drawing/2014/main" id="{3209D42F-477D-4FAC-B335-DE256E721F5E}"/>
            </a:ext>
          </a:extLst>
        </xdr:cNvPr>
        <xdr:cNvSpPr txBox="1"/>
      </xdr:nvSpPr>
      <xdr:spPr>
        <a:xfrm>
          <a:off x="152400" y="4526280"/>
          <a:ext cx="1333500" cy="746760"/>
        </a:xfrm>
        <a:prstGeom prst="roundRect">
          <a:avLst>
            <a:gd name="adj" fmla="val 39744"/>
          </a:avLst>
        </a:prstGeom>
        <a:solidFill>
          <a:schemeClr val="bg1"/>
        </a:solidFill>
        <a:ln w="9525" cmpd="sng">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3d extrusionH="57150">
            <a:bevelT w="82550" h="38100" prst="coolSlant"/>
          </a:sp3d>
        </a:bodyPr>
        <a:lstStyle/>
        <a:p>
          <a:pPr algn="ctr"/>
          <a:r>
            <a:rPr lang="en-US" sz="1600" b="1">
              <a:solidFill>
                <a:srgbClr val="00B050"/>
              </a:solidFill>
            </a:rPr>
            <a:t>Database</a:t>
          </a:r>
        </a:p>
        <a:p>
          <a:pPr algn="ctr"/>
          <a:r>
            <a:rPr lang="en-US" sz="1600" b="1">
              <a:solidFill>
                <a:srgbClr val="00B050"/>
              </a:solidFill>
            </a:rPr>
            <a:t>View</a:t>
          </a:r>
          <a:endParaRPr lang="en-NG" sz="1600" b="1">
            <a:solidFill>
              <a:srgbClr val="00B050"/>
            </a:solidFill>
          </a:endParaRPr>
        </a:p>
      </xdr:txBody>
    </xdr:sp>
    <xdr:clientData/>
  </xdr:twoCellAnchor>
  <xdr:twoCellAnchor>
    <xdr:from>
      <xdr:col>6</xdr:col>
      <xdr:colOff>851435</xdr:colOff>
      <xdr:row>0</xdr:row>
      <xdr:rowOff>0</xdr:rowOff>
    </xdr:from>
    <xdr:to>
      <xdr:col>8</xdr:col>
      <xdr:colOff>249682</xdr:colOff>
      <xdr:row>1</xdr:row>
      <xdr:rowOff>88900</xdr:rowOff>
    </xdr:to>
    <xdr:sp macro="" textlink="">
      <xdr:nvSpPr>
        <xdr:cNvPr id="23" name="TextBox 22">
          <a:extLst>
            <a:ext uri="{FF2B5EF4-FFF2-40B4-BE49-F238E27FC236}">
              <a16:creationId xmlns:a16="http://schemas.microsoft.com/office/drawing/2014/main" id="{0DDE2C54-8A2C-46DA-8BE4-8C5B44CB14C9}"/>
            </a:ext>
          </a:extLst>
        </xdr:cNvPr>
        <xdr:cNvSpPr txBox="1"/>
      </xdr:nvSpPr>
      <xdr:spPr>
        <a:xfrm>
          <a:off x="5242961" y="0"/>
          <a:ext cx="2215642" cy="259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Leading Party</a:t>
          </a:r>
          <a:endParaRPr lang="en-NG" sz="1400">
            <a:solidFill>
              <a:schemeClr val="bg2">
                <a:lumMod val="50000"/>
              </a:schemeClr>
            </a:solidFill>
          </a:endParaRPr>
        </a:p>
      </xdr:txBody>
    </xdr:sp>
    <xdr:clientData/>
  </xdr:twoCellAnchor>
  <xdr:twoCellAnchor>
    <xdr:from>
      <xdr:col>6</xdr:col>
      <xdr:colOff>747726</xdr:colOff>
      <xdr:row>1</xdr:row>
      <xdr:rowOff>63500</xdr:rowOff>
    </xdr:from>
    <xdr:to>
      <xdr:col>7</xdr:col>
      <xdr:colOff>760979</xdr:colOff>
      <xdr:row>2</xdr:row>
      <xdr:rowOff>127000</xdr:rowOff>
    </xdr:to>
    <xdr:sp macro="" textlink="Sheet7!B19">
      <xdr:nvSpPr>
        <xdr:cNvPr id="24" name="Rectangle 23">
          <a:extLst>
            <a:ext uri="{FF2B5EF4-FFF2-40B4-BE49-F238E27FC236}">
              <a16:creationId xmlns:a16="http://schemas.microsoft.com/office/drawing/2014/main" id="{E695E485-235F-4FD0-BF91-B85EF747B08B}"/>
            </a:ext>
          </a:extLst>
        </xdr:cNvPr>
        <xdr:cNvSpPr/>
      </xdr:nvSpPr>
      <xdr:spPr>
        <a:xfrm>
          <a:off x="5139252" y="233947"/>
          <a:ext cx="1066016" cy="23394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49D73CF-8B19-4AF9-B417-6A561236C5A9}" type="TxLink">
            <a:rPr lang="en-US" sz="1400" b="1" i="0" u="none" strike="noStrike">
              <a:solidFill>
                <a:srgbClr val="00B050"/>
              </a:solidFill>
              <a:latin typeface="Arial"/>
              <a:cs typeface="Arial"/>
            </a:rPr>
            <a:pPr algn="ctr"/>
            <a:t>Party A</a:t>
          </a:fld>
          <a:endParaRPr lang="en-NG" sz="1800" b="1">
            <a:solidFill>
              <a:srgbClr val="00B050"/>
            </a:solidFill>
          </a:endParaRPr>
        </a:p>
      </xdr:txBody>
    </xdr:sp>
    <xdr:clientData/>
  </xdr:twoCellAnchor>
  <xdr:twoCellAnchor>
    <xdr:from>
      <xdr:col>7</xdr:col>
      <xdr:colOff>109645</xdr:colOff>
      <xdr:row>2</xdr:row>
      <xdr:rowOff>50130</xdr:rowOff>
    </xdr:from>
    <xdr:to>
      <xdr:col>7</xdr:col>
      <xdr:colOff>922420</xdr:colOff>
      <xdr:row>4</xdr:row>
      <xdr:rowOff>52592</xdr:rowOff>
    </xdr:to>
    <xdr:sp macro="" textlink="Sheet7!C19">
      <xdr:nvSpPr>
        <xdr:cNvPr id="25" name="Rectangle 24">
          <a:extLst>
            <a:ext uri="{FF2B5EF4-FFF2-40B4-BE49-F238E27FC236}">
              <a16:creationId xmlns:a16="http://schemas.microsoft.com/office/drawing/2014/main" id="{25451D62-5453-4CDE-BA8A-5AC49DF8B6AE}"/>
            </a:ext>
          </a:extLst>
        </xdr:cNvPr>
        <xdr:cNvSpPr/>
      </xdr:nvSpPr>
      <xdr:spPr>
        <a:xfrm>
          <a:off x="5553934" y="391025"/>
          <a:ext cx="812775" cy="34335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841D40E-98D9-4820-8B79-4F39A072E49D}" type="TxLink">
            <a:rPr lang="en-US" sz="1400" b="1" i="0" u="none" strike="noStrike">
              <a:solidFill>
                <a:srgbClr val="00B050"/>
              </a:solidFill>
              <a:latin typeface="Arial"/>
              <a:cs typeface="Arial"/>
            </a:rPr>
            <a:pPr algn="l"/>
            <a:t>50.30%</a:t>
          </a:fld>
          <a:endParaRPr lang="en-NG" sz="1800" b="1">
            <a:solidFill>
              <a:srgbClr val="00B050"/>
            </a:solidFill>
          </a:endParaRPr>
        </a:p>
      </xdr:txBody>
    </xdr:sp>
    <xdr:clientData/>
  </xdr:twoCellAnchor>
  <xdr:twoCellAnchor>
    <xdr:from>
      <xdr:col>7</xdr:col>
      <xdr:colOff>729111</xdr:colOff>
      <xdr:row>2</xdr:row>
      <xdr:rowOff>88900</xdr:rowOff>
    </xdr:from>
    <xdr:to>
      <xdr:col>8</xdr:col>
      <xdr:colOff>619161</xdr:colOff>
      <xdr:row>4</xdr:row>
      <xdr:rowOff>12700</xdr:rowOff>
    </xdr:to>
    <xdr:sp macro="" textlink="">
      <xdr:nvSpPr>
        <xdr:cNvPr id="26" name="TextBox 25">
          <a:extLst>
            <a:ext uri="{FF2B5EF4-FFF2-40B4-BE49-F238E27FC236}">
              <a16:creationId xmlns:a16="http://schemas.microsoft.com/office/drawing/2014/main" id="{AA0372AD-F738-4BF4-BD4E-98561A7D31AD}"/>
            </a:ext>
          </a:extLst>
        </xdr:cNvPr>
        <xdr:cNvSpPr txBox="1"/>
      </xdr:nvSpPr>
      <xdr:spPr>
        <a:xfrm>
          <a:off x="6173400" y="429795"/>
          <a:ext cx="1654682" cy="264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of total votes</a:t>
          </a:r>
          <a:endParaRPr lang="en-NG" sz="1400">
            <a:solidFill>
              <a:schemeClr val="bg2">
                <a:lumMod val="50000"/>
              </a:schemeClr>
            </a:solidFill>
          </a:endParaRPr>
        </a:p>
      </xdr:txBody>
    </xdr:sp>
    <xdr:clientData/>
  </xdr:twoCellAnchor>
  <xdr:twoCellAnchor>
    <xdr:from>
      <xdr:col>6</xdr:col>
      <xdr:colOff>800635</xdr:colOff>
      <xdr:row>2</xdr:row>
      <xdr:rowOff>72858</xdr:rowOff>
    </xdr:from>
    <xdr:to>
      <xdr:col>7</xdr:col>
      <xdr:colOff>248459</xdr:colOff>
      <xdr:row>4</xdr:row>
      <xdr:rowOff>33653</xdr:rowOff>
    </xdr:to>
    <xdr:sp macro="" textlink="">
      <xdr:nvSpPr>
        <xdr:cNvPr id="35" name="TextBox 34">
          <a:extLst>
            <a:ext uri="{FF2B5EF4-FFF2-40B4-BE49-F238E27FC236}">
              <a16:creationId xmlns:a16="http://schemas.microsoft.com/office/drawing/2014/main" id="{5498D36C-DE9A-45D8-8F33-5EAEDE779F28}"/>
            </a:ext>
          </a:extLst>
        </xdr:cNvPr>
        <xdr:cNvSpPr txBox="1"/>
      </xdr:nvSpPr>
      <xdr:spPr>
        <a:xfrm>
          <a:off x="5192161" y="413753"/>
          <a:ext cx="500587" cy="301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with</a:t>
          </a:r>
          <a:endParaRPr lang="en-NG" sz="1400">
            <a:solidFill>
              <a:schemeClr val="bg2">
                <a:lumMod val="50000"/>
              </a:schemeClr>
            </a:solidFill>
          </a:endParaRPr>
        </a:p>
      </xdr:txBody>
    </xdr:sp>
    <xdr:clientData/>
  </xdr:twoCellAnchor>
  <xdr:twoCellAnchor>
    <xdr:from>
      <xdr:col>1</xdr:col>
      <xdr:colOff>536864</xdr:colOff>
      <xdr:row>3</xdr:row>
      <xdr:rowOff>137812</xdr:rowOff>
    </xdr:from>
    <xdr:to>
      <xdr:col>3</xdr:col>
      <xdr:colOff>389659</xdr:colOff>
      <xdr:row>5</xdr:row>
      <xdr:rowOff>82482</xdr:rowOff>
    </xdr:to>
    <xdr:sp macro="" textlink="">
      <xdr:nvSpPr>
        <xdr:cNvPr id="36" name="TextBox 35">
          <a:extLst>
            <a:ext uri="{FF2B5EF4-FFF2-40B4-BE49-F238E27FC236}">
              <a16:creationId xmlns:a16="http://schemas.microsoft.com/office/drawing/2014/main" id="{286C0316-F454-40E8-9594-C3C367596180}"/>
            </a:ext>
          </a:extLst>
        </xdr:cNvPr>
        <xdr:cNvSpPr txBox="1"/>
      </xdr:nvSpPr>
      <xdr:spPr>
        <a:xfrm>
          <a:off x="1146464" y="640732"/>
          <a:ext cx="1071995" cy="279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LGAs</a:t>
          </a:r>
          <a:endParaRPr lang="en-NG" sz="1400" b="1">
            <a:solidFill>
              <a:schemeClr val="bg2">
                <a:lumMod val="75000"/>
              </a:schemeClr>
            </a:solidFill>
          </a:endParaRPr>
        </a:p>
      </xdr:txBody>
    </xdr:sp>
    <xdr:clientData/>
  </xdr:twoCellAnchor>
  <xdr:twoCellAnchor>
    <xdr:from>
      <xdr:col>4</xdr:col>
      <xdr:colOff>275168</xdr:colOff>
      <xdr:row>3</xdr:row>
      <xdr:rowOff>135628</xdr:rowOff>
    </xdr:from>
    <xdr:to>
      <xdr:col>4</xdr:col>
      <xdr:colOff>1197844</xdr:colOff>
      <xdr:row>5</xdr:row>
      <xdr:rowOff>84667</xdr:rowOff>
    </xdr:to>
    <xdr:sp macro="" textlink="">
      <xdr:nvSpPr>
        <xdr:cNvPr id="37" name="TextBox 36">
          <a:extLst>
            <a:ext uri="{FF2B5EF4-FFF2-40B4-BE49-F238E27FC236}">
              <a16:creationId xmlns:a16="http://schemas.microsoft.com/office/drawing/2014/main" id="{4913B3C2-81B0-4DB5-9462-2D48C7186164}"/>
            </a:ext>
          </a:extLst>
        </xdr:cNvPr>
        <xdr:cNvSpPr txBox="1"/>
      </xdr:nvSpPr>
      <xdr:spPr>
        <a:xfrm>
          <a:off x="2730501" y="643628"/>
          <a:ext cx="922676" cy="287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States</a:t>
          </a:r>
          <a:endParaRPr lang="en-NG" sz="1400" b="1">
            <a:solidFill>
              <a:schemeClr val="bg2">
                <a:lumMod val="75000"/>
              </a:schemeClr>
            </a:solidFill>
          </a:endParaRPr>
        </a:p>
      </xdr:txBody>
    </xdr:sp>
    <xdr:clientData/>
  </xdr:twoCellAnchor>
  <xdr:twoCellAnchor>
    <xdr:from>
      <xdr:col>5</xdr:col>
      <xdr:colOff>497426</xdr:colOff>
      <xdr:row>3</xdr:row>
      <xdr:rowOff>93294</xdr:rowOff>
    </xdr:from>
    <xdr:to>
      <xdr:col>5</xdr:col>
      <xdr:colOff>1507650</xdr:colOff>
      <xdr:row>5</xdr:row>
      <xdr:rowOff>127001</xdr:rowOff>
    </xdr:to>
    <xdr:sp macro="" textlink="">
      <xdr:nvSpPr>
        <xdr:cNvPr id="38" name="TextBox 37">
          <a:extLst>
            <a:ext uri="{FF2B5EF4-FFF2-40B4-BE49-F238E27FC236}">
              <a16:creationId xmlns:a16="http://schemas.microsoft.com/office/drawing/2014/main" id="{422EB2EB-9307-43DB-95AE-0073BFDF14DA}"/>
            </a:ext>
          </a:extLst>
        </xdr:cNvPr>
        <xdr:cNvSpPr txBox="1"/>
      </xdr:nvSpPr>
      <xdr:spPr>
        <a:xfrm>
          <a:off x="4286259" y="601294"/>
          <a:ext cx="1010224" cy="372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Wards</a:t>
          </a:r>
          <a:endParaRPr lang="en-NG" sz="1400" b="1">
            <a:solidFill>
              <a:schemeClr val="bg2">
                <a:lumMod val="75000"/>
              </a:schemeClr>
            </a:solidFill>
          </a:endParaRPr>
        </a:p>
      </xdr:txBody>
    </xdr:sp>
    <xdr:clientData/>
  </xdr:twoCellAnchor>
  <xdr:twoCellAnchor>
    <xdr:from>
      <xdr:col>6</xdr:col>
      <xdr:colOff>42347</xdr:colOff>
      <xdr:row>3</xdr:row>
      <xdr:rowOff>146211</xdr:rowOff>
    </xdr:from>
    <xdr:to>
      <xdr:col>7</xdr:col>
      <xdr:colOff>487807</xdr:colOff>
      <xdr:row>5</xdr:row>
      <xdr:rowOff>74084</xdr:rowOff>
    </xdr:to>
    <xdr:sp macro="" textlink="">
      <xdr:nvSpPr>
        <xdr:cNvPr id="39" name="TextBox 38">
          <a:extLst>
            <a:ext uri="{FF2B5EF4-FFF2-40B4-BE49-F238E27FC236}">
              <a16:creationId xmlns:a16="http://schemas.microsoft.com/office/drawing/2014/main" id="{8D446185-D28A-46F6-AF59-496D1576BDED}"/>
            </a:ext>
          </a:extLst>
        </xdr:cNvPr>
        <xdr:cNvSpPr txBox="1"/>
      </xdr:nvSpPr>
      <xdr:spPr>
        <a:xfrm>
          <a:off x="5397514" y="654211"/>
          <a:ext cx="1895376" cy="266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Registered Voters</a:t>
          </a:r>
          <a:endParaRPr lang="en-NG" sz="1400" b="1">
            <a:solidFill>
              <a:schemeClr val="bg2">
                <a:lumMod val="75000"/>
              </a:schemeClr>
            </a:solidFill>
          </a:endParaRPr>
        </a:p>
      </xdr:txBody>
    </xdr:sp>
    <xdr:clientData/>
  </xdr:twoCellAnchor>
  <xdr:twoCellAnchor>
    <xdr:from>
      <xdr:col>7</xdr:col>
      <xdr:colOff>412763</xdr:colOff>
      <xdr:row>3</xdr:row>
      <xdr:rowOff>137812</xdr:rowOff>
    </xdr:from>
    <xdr:to>
      <xdr:col>7</xdr:col>
      <xdr:colOff>1631773</xdr:colOff>
      <xdr:row>5</xdr:row>
      <xdr:rowOff>82482</xdr:rowOff>
    </xdr:to>
    <xdr:sp macro="" textlink="">
      <xdr:nvSpPr>
        <xdr:cNvPr id="40" name="TextBox 39">
          <a:extLst>
            <a:ext uri="{FF2B5EF4-FFF2-40B4-BE49-F238E27FC236}">
              <a16:creationId xmlns:a16="http://schemas.microsoft.com/office/drawing/2014/main" id="{A2ABD46B-8A67-4004-B427-674899214CC5}"/>
            </a:ext>
          </a:extLst>
        </xdr:cNvPr>
        <xdr:cNvSpPr txBox="1"/>
      </xdr:nvSpPr>
      <xdr:spPr>
        <a:xfrm>
          <a:off x="7217846" y="645812"/>
          <a:ext cx="1219010" cy="283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Votes Cast</a:t>
          </a:r>
          <a:endParaRPr lang="en-NG" sz="1400" b="1">
            <a:solidFill>
              <a:schemeClr val="bg2">
                <a:lumMod val="75000"/>
              </a:schemeClr>
            </a:solidFill>
          </a:endParaRPr>
        </a:p>
      </xdr:txBody>
    </xdr:sp>
    <xdr:clientData/>
  </xdr:twoCellAnchor>
  <xdr:twoCellAnchor>
    <xdr:from>
      <xdr:col>7</xdr:col>
      <xdr:colOff>1854982</xdr:colOff>
      <xdr:row>3</xdr:row>
      <xdr:rowOff>137812</xdr:rowOff>
    </xdr:from>
    <xdr:to>
      <xdr:col>8</xdr:col>
      <xdr:colOff>932309</xdr:colOff>
      <xdr:row>5</xdr:row>
      <xdr:rowOff>82482</xdr:rowOff>
    </xdr:to>
    <xdr:sp macro="" textlink="">
      <xdr:nvSpPr>
        <xdr:cNvPr id="41" name="TextBox 40">
          <a:extLst>
            <a:ext uri="{FF2B5EF4-FFF2-40B4-BE49-F238E27FC236}">
              <a16:creationId xmlns:a16="http://schemas.microsoft.com/office/drawing/2014/main" id="{4F1D00CC-0224-4789-A93D-B933DCEDA8E4}"/>
            </a:ext>
          </a:extLst>
        </xdr:cNvPr>
        <xdr:cNvSpPr txBox="1"/>
      </xdr:nvSpPr>
      <xdr:spPr>
        <a:xfrm>
          <a:off x="8660065" y="645812"/>
          <a:ext cx="1469161" cy="283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Party A Votes</a:t>
          </a:r>
          <a:endParaRPr lang="en-NG" sz="1400" b="1">
            <a:solidFill>
              <a:schemeClr val="bg2">
                <a:lumMod val="75000"/>
              </a:schemeClr>
            </a:solidFill>
          </a:endParaRPr>
        </a:p>
      </xdr:txBody>
    </xdr:sp>
    <xdr:clientData/>
  </xdr:twoCellAnchor>
  <xdr:twoCellAnchor>
    <xdr:from>
      <xdr:col>8</xdr:col>
      <xdr:colOff>1069396</xdr:colOff>
      <xdr:row>3</xdr:row>
      <xdr:rowOff>137812</xdr:rowOff>
    </xdr:from>
    <xdr:to>
      <xdr:col>10</xdr:col>
      <xdr:colOff>141432</xdr:colOff>
      <xdr:row>5</xdr:row>
      <xdr:rowOff>82482</xdr:rowOff>
    </xdr:to>
    <xdr:sp macro="" textlink="">
      <xdr:nvSpPr>
        <xdr:cNvPr id="42" name="TextBox 41">
          <a:extLst>
            <a:ext uri="{FF2B5EF4-FFF2-40B4-BE49-F238E27FC236}">
              <a16:creationId xmlns:a16="http://schemas.microsoft.com/office/drawing/2014/main" id="{3CDDDFEC-E453-4556-8864-CFBB938167F0}"/>
            </a:ext>
          </a:extLst>
        </xdr:cNvPr>
        <xdr:cNvSpPr txBox="1"/>
      </xdr:nvSpPr>
      <xdr:spPr>
        <a:xfrm>
          <a:off x="10213396" y="661687"/>
          <a:ext cx="1437411" cy="293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Party B Votes</a:t>
          </a:r>
          <a:endParaRPr lang="en-NG" sz="1400" b="1">
            <a:solidFill>
              <a:schemeClr val="bg2">
                <a:lumMod val="75000"/>
              </a:schemeClr>
            </a:solidFill>
          </a:endParaRPr>
        </a:p>
      </xdr:txBody>
    </xdr:sp>
    <xdr:clientData/>
  </xdr:twoCellAnchor>
  <xdr:twoCellAnchor>
    <xdr:from>
      <xdr:col>10</xdr:col>
      <xdr:colOff>266987</xdr:colOff>
      <xdr:row>3</xdr:row>
      <xdr:rowOff>137812</xdr:rowOff>
    </xdr:from>
    <xdr:to>
      <xdr:col>11</xdr:col>
      <xdr:colOff>484909</xdr:colOff>
      <xdr:row>5</xdr:row>
      <xdr:rowOff>82482</xdr:rowOff>
    </xdr:to>
    <xdr:sp macro="" textlink="">
      <xdr:nvSpPr>
        <xdr:cNvPr id="43" name="TextBox 42">
          <a:extLst>
            <a:ext uri="{FF2B5EF4-FFF2-40B4-BE49-F238E27FC236}">
              <a16:creationId xmlns:a16="http://schemas.microsoft.com/office/drawing/2014/main" id="{20A65D14-E77A-4CAE-AD1F-711012459658}"/>
            </a:ext>
          </a:extLst>
        </xdr:cNvPr>
        <xdr:cNvSpPr txBox="1"/>
      </xdr:nvSpPr>
      <xdr:spPr>
        <a:xfrm>
          <a:off x="11776362" y="661687"/>
          <a:ext cx="1440297" cy="293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2">
                  <a:lumMod val="75000"/>
                </a:schemeClr>
              </a:solidFill>
            </a:rPr>
            <a:t>Party C Votes</a:t>
          </a:r>
          <a:endParaRPr lang="en-NG" sz="1400" b="1">
            <a:solidFill>
              <a:schemeClr val="bg2">
                <a:lumMod val="75000"/>
              </a:schemeClr>
            </a:solidFill>
          </a:endParaRPr>
        </a:p>
      </xdr:txBody>
    </xdr:sp>
    <xdr:clientData/>
  </xdr:twoCellAnchor>
  <xdr:twoCellAnchor editAs="absolute">
    <xdr:from>
      <xdr:col>4</xdr:col>
      <xdr:colOff>279400</xdr:colOff>
      <xdr:row>12</xdr:row>
      <xdr:rowOff>112629</xdr:rowOff>
    </xdr:from>
    <xdr:to>
      <xdr:col>7</xdr:col>
      <xdr:colOff>1346302</xdr:colOff>
      <xdr:row>27</xdr:row>
      <xdr:rowOff>99929</xdr:rowOff>
    </xdr:to>
    <xdr:grpSp>
      <xdr:nvGrpSpPr>
        <xdr:cNvPr id="53" name="Group 52">
          <a:extLst>
            <a:ext uri="{FF2B5EF4-FFF2-40B4-BE49-F238E27FC236}">
              <a16:creationId xmlns:a16="http://schemas.microsoft.com/office/drawing/2014/main" id="{CB7A4D8D-D64B-BD2C-5E6F-7D05F4E4B498}"/>
            </a:ext>
          </a:extLst>
        </xdr:cNvPr>
        <xdr:cNvGrpSpPr/>
      </xdr:nvGrpSpPr>
      <xdr:grpSpPr>
        <a:xfrm>
          <a:off x="2706511" y="2144629"/>
          <a:ext cx="4065513" cy="2527300"/>
          <a:chOff x="2727400" y="2700700"/>
          <a:chExt cx="4055400" cy="2507300"/>
        </a:xfrm>
      </xdr:grpSpPr>
      <xdr:sp macro="" textlink="">
        <xdr:nvSpPr>
          <xdr:cNvPr id="30" name="Rectangle: Rounded Corners 29">
            <a:extLst>
              <a:ext uri="{FF2B5EF4-FFF2-40B4-BE49-F238E27FC236}">
                <a16:creationId xmlns:a16="http://schemas.microsoft.com/office/drawing/2014/main" id="{D4A89D4E-F002-4D11-D97F-E65E4E5998C0}"/>
              </a:ext>
            </a:extLst>
          </xdr:cNvPr>
          <xdr:cNvSpPr/>
        </xdr:nvSpPr>
        <xdr:spPr>
          <a:xfrm>
            <a:off x="2727400" y="2700700"/>
            <a:ext cx="4055400" cy="2507300"/>
          </a:xfrm>
          <a:prstGeom prst="roundRect">
            <a:avLst/>
          </a:prstGeom>
          <a:solidFill>
            <a:schemeClr val="bg1">
              <a:lumMod val="95000"/>
            </a:schemeClr>
          </a:solidFill>
          <a:ln>
            <a:noFill/>
          </a:ln>
          <a:effectLst>
            <a:outerShdw blurRad="63500" sx="102000" sy="102000" algn="c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45" name="Chart 44">
            <a:extLst>
              <a:ext uri="{FF2B5EF4-FFF2-40B4-BE49-F238E27FC236}">
                <a16:creationId xmlns:a16="http://schemas.microsoft.com/office/drawing/2014/main" id="{3BEE2D19-316D-4639-9838-7F91B2431E51}"/>
              </a:ext>
            </a:extLst>
          </xdr:cNvPr>
          <xdr:cNvGraphicFramePr>
            <a:graphicFrameLocks/>
          </xdr:cNvGraphicFramePr>
        </xdr:nvGraphicFramePr>
        <xdr:xfrm>
          <a:off x="2798923" y="2708052"/>
          <a:ext cx="3933963" cy="248933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9</xdr:col>
      <xdr:colOff>226336</xdr:colOff>
      <xdr:row>12</xdr:row>
      <xdr:rowOff>112629</xdr:rowOff>
    </xdr:from>
    <xdr:to>
      <xdr:col>15</xdr:col>
      <xdr:colOff>56949</xdr:colOff>
      <xdr:row>27</xdr:row>
      <xdr:rowOff>99929</xdr:rowOff>
    </xdr:to>
    <xdr:grpSp>
      <xdr:nvGrpSpPr>
        <xdr:cNvPr id="29" name="Group 28">
          <a:extLst>
            <a:ext uri="{FF2B5EF4-FFF2-40B4-BE49-F238E27FC236}">
              <a16:creationId xmlns:a16="http://schemas.microsoft.com/office/drawing/2014/main" id="{D327C4BE-A717-1176-EE6A-571BEB4F7E12}"/>
            </a:ext>
          </a:extLst>
        </xdr:cNvPr>
        <xdr:cNvGrpSpPr/>
      </xdr:nvGrpSpPr>
      <xdr:grpSpPr>
        <a:xfrm>
          <a:off x="8234392" y="2144629"/>
          <a:ext cx="4035724" cy="2527300"/>
          <a:chOff x="8257415" y="2157997"/>
          <a:chExt cx="4061718" cy="2544011"/>
        </a:xfrm>
      </xdr:grpSpPr>
      <xdr:grpSp>
        <xdr:nvGrpSpPr>
          <xdr:cNvPr id="28" name="Group 27">
            <a:extLst>
              <a:ext uri="{FF2B5EF4-FFF2-40B4-BE49-F238E27FC236}">
                <a16:creationId xmlns:a16="http://schemas.microsoft.com/office/drawing/2014/main" id="{EEC9D8DF-40F6-8BCB-918D-A3C093BFE1B2}"/>
              </a:ext>
            </a:extLst>
          </xdr:cNvPr>
          <xdr:cNvGrpSpPr/>
        </xdr:nvGrpSpPr>
        <xdr:grpSpPr>
          <a:xfrm>
            <a:off x="8257415" y="2157997"/>
            <a:ext cx="4061718" cy="2544011"/>
            <a:chOff x="8257415" y="2157997"/>
            <a:chExt cx="4061718" cy="2544011"/>
          </a:xfrm>
        </xdr:grpSpPr>
        <xdr:sp macro="" textlink="">
          <xdr:nvSpPr>
            <xdr:cNvPr id="33" name="Rectangle: Rounded Corners 32">
              <a:extLst>
                <a:ext uri="{FF2B5EF4-FFF2-40B4-BE49-F238E27FC236}">
                  <a16:creationId xmlns:a16="http://schemas.microsoft.com/office/drawing/2014/main" id="{13F27495-F18C-D29C-B035-543B00451A24}"/>
                </a:ext>
              </a:extLst>
            </xdr:cNvPr>
            <xdr:cNvSpPr/>
          </xdr:nvSpPr>
          <xdr:spPr>
            <a:xfrm>
              <a:off x="8257415" y="2157997"/>
              <a:ext cx="4061718" cy="2544011"/>
            </a:xfrm>
            <a:prstGeom prst="roundRect">
              <a:avLst/>
            </a:prstGeom>
            <a:solidFill>
              <a:schemeClr val="bg1">
                <a:lumMod val="95000"/>
              </a:schemeClr>
            </a:solidFill>
            <a:ln>
              <a:noFill/>
            </a:ln>
            <a:effectLst>
              <a:outerShdw blurRad="63500" sx="102000" sy="102000" algn="ct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48" name="Chart 47">
              <a:extLst>
                <a:ext uri="{FF2B5EF4-FFF2-40B4-BE49-F238E27FC236}">
                  <a16:creationId xmlns:a16="http://schemas.microsoft.com/office/drawing/2014/main" id="{2C46FCC6-6421-4FB7-94CA-700810C11D08}"/>
                </a:ext>
              </a:extLst>
            </xdr:cNvPr>
            <xdr:cNvGraphicFramePr>
              <a:graphicFrameLocks/>
            </xdr:cNvGraphicFramePr>
          </xdr:nvGraphicFramePr>
          <xdr:xfrm>
            <a:off x="8296913" y="2175629"/>
            <a:ext cx="3940092" cy="2525785"/>
          </xdr:xfrm>
          <a:graphic>
            <a:graphicData uri="http://schemas.openxmlformats.org/drawingml/2006/chart">
              <c:chart xmlns:c="http://schemas.openxmlformats.org/drawingml/2006/chart" xmlns:r="http://schemas.openxmlformats.org/officeDocument/2006/relationships" r:id="rId5"/>
            </a:graphicData>
          </a:graphic>
        </xdr:graphicFrame>
      </xdr:grpSp>
      <xdr:cxnSp macro="">
        <xdr:nvCxnSpPr>
          <xdr:cNvPr id="50" name="Straight Connector 49">
            <a:extLst>
              <a:ext uri="{FF2B5EF4-FFF2-40B4-BE49-F238E27FC236}">
                <a16:creationId xmlns:a16="http://schemas.microsoft.com/office/drawing/2014/main" id="{9A304772-27CE-B9AB-600C-9204BA37F0DB}"/>
              </a:ext>
            </a:extLst>
          </xdr:cNvPr>
          <xdr:cNvCxnSpPr/>
        </xdr:nvCxnSpPr>
        <xdr:spPr>
          <a:xfrm>
            <a:off x="9000217" y="3611258"/>
            <a:ext cx="3034617" cy="0"/>
          </a:xfrm>
          <a:prstGeom prst="line">
            <a:avLst/>
          </a:prstGeom>
          <a:ln w="28575">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37</xdr:row>
      <xdr:rowOff>79374</xdr:rowOff>
    </xdr:from>
    <xdr:to>
      <xdr:col>17</xdr:col>
      <xdr:colOff>0</xdr:colOff>
      <xdr:row>39</xdr:row>
      <xdr:rowOff>38153</xdr:rowOff>
    </xdr:to>
    <xdr:sp macro="" textlink="">
      <xdr:nvSpPr>
        <xdr:cNvPr id="56" name="Rectangle 55">
          <a:extLst>
            <a:ext uri="{FF2B5EF4-FFF2-40B4-BE49-F238E27FC236}">
              <a16:creationId xmlns:a16="http://schemas.microsoft.com/office/drawing/2014/main" id="{841035A5-C77D-4F42-9DE9-A6D0EE20BBBD}"/>
            </a:ext>
          </a:extLst>
        </xdr:cNvPr>
        <xdr:cNvSpPr/>
      </xdr:nvSpPr>
      <xdr:spPr>
        <a:xfrm rot="16200000">
          <a:off x="8021610" y="-1481111"/>
          <a:ext cx="308029" cy="16351250"/>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497915</xdr:colOff>
      <xdr:row>0</xdr:row>
      <xdr:rowOff>0</xdr:rowOff>
    </xdr:from>
    <xdr:to>
      <xdr:col>10</xdr:col>
      <xdr:colOff>379811</xdr:colOff>
      <xdr:row>2</xdr:row>
      <xdr:rowOff>5469</xdr:rowOff>
    </xdr:to>
    <xdr:sp macro="" textlink="">
      <xdr:nvSpPr>
        <xdr:cNvPr id="47" name="TextBox 46">
          <a:hlinkClick xmlns:r="http://schemas.openxmlformats.org/officeDocument/2006/relationships" r:id="rId6"/>
          <a:extLst>
            <a:ext uri="{FF2B5EF4-FFF2-40B4-BE49-F238E27FC236}">
              <a16:creationId xmlns:a16="http://schemas.microsoft.com/office/drawing/2014/main" id="{2C2E731D-A18A-4588-9ABC-1D265E271A3B}"/>
            </a:ext>
          </a:extLst>
        </xdr:cNvPr>
        <xdr:cNvSpPr txBox="1"/>
      </xdr:nvSpPr>
      <xdr:spPr>
        <a:xfrm>
          <a:off x="8528994" y="0"/>
          <a:ext cx="774238"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Home</a:t>
          </a:r>
          <a:endParaRPr lang="en-NG" sz="1600" b="1">
            <a:solidFill>
              <a:srgbClr val="00B050"/>
            </a:solidFill>
          </a:endParaRPr>
        </a:p>
      </xdr:txBody>
    </xdr:sp>
    <xdr:clientData/>
  </xdr:twoCellAnchor>
  <xdr:twoCellAnchor>
    <xdr:from>
      <xdr:col>11</xdr:col>
      <xdr:colOff>297729</xdr:colOff>
      <xdr:row>0</xdr:row>
      <xdr:rowOff>0</xdr:rowOff>
    </xdr:from>
    <xdr:to>
      <xdr:col>13</xdr:col>
      <xdr:colOff>59808</xdr:colOff>
      <xdr:row>2</xdr:row>
      <xdr:rowOff>5469</xdr:rowOff>
    </xdr:to>
    <xdr:sp macro="" textlink="">
      <xdr:nvSpPr>
        <xdr:cNvPr id="49" name="TextBox 48">
          <a:hlinkClick xmlns:r="http://schemas.openxmlformats.org/officeDocument/2006/relationships" r:id="rId7"/>
          <a:extLst>
            <a:ext uri="{FF2B5EF4-FFF2-40B4-BE49-F238E27FC236}">
              <a16:creationId xmlns:a16="http://schemas.microsoft.com/office/drawing/2014/main" id="{32A96E23-D0B5-4624-BDA0-7BA3DE33204B}"/>
            </a:ext>
          </a:extLst>
        </xdr:cNvPr>
        <xdr:cNvSpPr txBox="1"/>
      </xdr:nvSpPr>
      <xdr:spPr>
        <a:xfrm>
          <a:off x="10113492" y="0"/>
          <a:ext cx="985290"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Insights</a:t>
          </a:r>
          <a:endParaRPr lang="en-NG" sz="1600" b="1">
            <a:solidFill>
              <a:srgbClr val="00B050"/>
            </a:solidFill>
          </a:endParaRPr>
        </a:p>
      </xdr:txBody>
    </xdr:sp>
    <xdr:clientData/>
  </xdr:twoCellAnchor>
  <xdr:twoCellAnchor>
    <xdr:from>
      <xdr:col>14</xdr:col>
      <xdr:colOff>238374</xdr:colOff>
      <xdr:row>0</xdr:row>
      <xdr:rowOff>0</xdr:rowOff>
    </xdr:from>
    <xdr:to>
      <xdr:col>16</xdr:col>
      <xdr:colOff>345662</xdr:colOff>
      <xdr:row>2</xdr:row>
      <xdr:rowOff>5469</xdr:rowOff>
    </xdr:to>
    <xdr:sp macro="" textlink="">
      <xdr:nvSpPr>
        <xdr:cNvPr id="51" name="TextBox 50">
          <a:hlinkClick xmlns:r="http://schemas.openxmlformats.org/officeDocument/2006/relationships" r:id="rId8"/>
          <a:extLst>
            <a:ext uri="{FF2B5EF4-FFF2-40B4-BE49-F238E27FC236}">
              <a16:creationId xmlns:a16="http://schemas.microsoft.com/office/drawing/2014/main" id="{260EEC45-AC3A-4018-9E31-FA592DB377BF}"/>
            </a:ext>
          </a:extLst>
        </xdr:cNvPr>
        <xdr:cNvSpPr txBox="1"/>
      </xdr:nvSpPr>
      <xdr:spPr>
        <a:xfrm>
          <a:off x="11888953" y="0"/>
          <a:ext cx="1330498"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Contact Us</a:t>
          </a:r>
          <a:endParaRPr lang="en-NG" sz="1600" b="1">
            <a:solidFill>
              <a:srgbClr val="00B050"/>
            </a:solidFill>
          </a:endParaRPr>
        </a:p>
      </xdr:txBody>
    </xdr:sp>
    <xdr:clientData/>
  </xdr:twoCellAnchor>
  <xdr:twoCellAnchor editAs="oneCell">
    <xdr:from>
      <xdr:col>9</xdr:col>
      <xdr:colOff>340895</xdr:colOff>
      <xdr:row>0</xdr:row>
      <xdr:rowOff>41623</xdr:rowOff>
    </xdr:from>
    <xdr:to>
      <xdr:col>9</xdr:col>
      <xdr:colOff>569498</xdr:colOff>
      <xdr:row>1</xdr:row>
      <xdr:rowOff>99779</xdr:rowOff>
    </xdr:to>
    <xdr:pic>
      <xdr:nvPicPr>
        <xdr:cNvPr id="52" name="Picture 51">
          <a:extLst>
            <a:ext uri="{FF2B5EF4-FFF2-40B4-BE49-F238E27FC236}">
              <a16:creationId xmlns:a16="http://schemas.microsoft.com/office/drawing/2014/main" id="{C2955837-024F-47B2-935C-E5317448537A}"/>
            </a:ext>
          </a:extLst>
        </xdr:cNvPr>
        <xdr:cNvPicPr>
          <a:picLocks noChangeAspect="1"/>
        </xdr:cNvPicPr>
      </xdr:nvPicPr>
      <xdr:blipFill>
        <a:blip xmlns:r="http://schemas.openxmlformats.org/officeDocument/2006/relationships" r:embed="rId9"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371974" y="41623"/>
          <a:ext cx="228603" cy="228603"/>
        </a:xfrm>
        <a:prstGeom prst="rect">
          <a:avLst/>
        </a:prstGeom>
      </xdr:spPr>
    </xdr:pic>
    <xdr:clientData/>
  </xdr:twoCellAnchor>
  <xdr:twoCellAnchor editAs="oneCell">
    <xdr:from>
      <xdr:col>14</xdr:col>
      <xdr:colOff>76882</xdr:colOff>
      <xdr:row>0</xdr:row>
      <xdr:rowOff>34635</xdr:rowOff>
    </xdr:from>
    <xdr:to>
      <xdr:col>14</xdr:col>
      <xdr:colOff>300790</xdr:colOff>
      <xdr:row>1</xdr:row>
      <xdr:rowOff>137327</xdr:rowOff>
    </xdr:to>
    <xdr:pic>
      <xdr:nvPicPr>
        <xdr:cNvPr id="54" name="Picture 53">
          <a:extLst>
            <a:ext uri="{FF2B5EF4-FFF2-40B4-BE49-F238E27FC236}">
              <a16:creationId xmlns:a16="http://schemas.microsoft.com/office/drawing/2014/main" id="{B5065E53-7FC1-4E9F-A31C-1A1E04552FE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727461" y="34635"/>
          <a:ext cx="223908" cy="273139"/>
        </a:xfrm>
        <a:prstGeom prst="rect">
          <a:avLst/>
        </a:prstGeom>
      </xdr:spPr>
    </xdr:pic>
    <xdr:clientData/>
  </xdr:twoCellAnchor>
  <xdr:twoCellAnchor editAs="oneCell">
    <xdr:from>
      <xdr:col>11</xdr:col>
      <xdr:colOff>126395</xdr:colOff>
      <xdr:row>0</xdr:row>
      <xdr:rowOff>2</xdr:rowOff>
    </xdr:from>
    <xdr:to>
      <xdr:col>11</xdr:col>
      <xdr:colOff>403485</xdr:colOff>
      <xdr:row>1</xdr:row>
      <xdr:rowOff>106645</xdr:rowOff>
    </xdr:to>
    <xdr:pic>
      <xdr:nvPicPr>
        <xdr:cNvPr id="55" name="Picture 54">
          <a:extLst>
            <a:ext uri="{FF2B5EF4-FFF2-40B4-BE49-F238E27FC236}">
              <a16:creationId xmlns:a16="http://schemas.microsoft.com/office/drawing/2014/main" id="{77056B0C-3619-42BC-9012-98D92E78128C}"/>
            </a:ext>
          </a:extLst>
        </xdr:cNvPr>
        <xdr:cNvPicPr>
          <a:picLocks noChangeAspect="1"/>
        </xdr:cNvPicPr>
      </xdr:nvPicPr>
      <xdr:blipFill>
        <a:blip xmlns:r="http://schemas.openxmlformats.org/officeDocument/2006/relationships" r:embed="rId11" cstate="print">
          <a:duotone>
            <a:prstClr val="black"/>
            <a:schemeClr val="accent4">
              <a:tint val="45000"/>
              <a:satMod val="400000"/>
            </a:schemeClr>
          </a:duotone>
          <a:extLst>
            <a:ext uri="{28A0092B-C50C-407E-A947-70E740481C1C}">
              <a14:useLocalDpi xmlns:a14="http://schemas.microsoft.com/office/drawing/2010/main" val="0"/>
            </a:ext>
          </a:extLst>
        </a:blip>
        <a:stretch>
          <a:fillRect/>
        </a:stretch>
      </xdr:blipFill>
      <xdr:spPr>
        <a:xfrm>
          <a:off x="9942158" y="2"/>
          <a:ext cx="277090" cy="2770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0</xdr:rowOff>
    </xdr:from>
    <xdr:to>
      <xdr:col>17</xdr:col>
      <xdr:colOff>0</xdr:colOff>
      <xdr:row>8</xdr:row>
      <xdr:rowOff>70555</xdr:rowOff>
    </xdr:to>
    <xdr:sp macro="" textlink="">
      <xdr:nvSpPr>
        <xdr:cNvPr id="2" name="Rectangle 1">
          <a:extLst>
            <a:ext uri="{FF2B5EF4-FFF2-40B4-BE49-F238E27FC236}">
              <a16:creationId xmlns:a16="http://schemas.microsoft.com/office/drawing/2014/main" id="{5A70E721-456D-464E-B46E-B8D25FED3B9A}"/>
            </a:ext>
          </a:extLst>
        </xdr:cNvPr>
        <xdr:cNvSpPr/>
      </xdr:nvSpPr>
      <xdr:spPr>
        <a:xfrm>
          <a:off x="0" y="465667"/>
          <a:ext cx="16707556" cy="84666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15240</xdr:colOff>
      <xdr:row>0</xdr:row>
      <xdr:rowOff>15240</xdr:rowOff>
    </xdr:from>
    <xdr:to>
      <xdr:col>17</xdr:col>
      <xdr:colOff>0</xdr:colOff>
      <xdr:row>3</xdr:row>
      <xdr:rowOff>152400</xdr:rowOff>
    </xdr:to>
    <xdr:sp macro="" textlink="">
      <xdr:nvSpPr>
        <xdr:cNvPr id="3" name="Rectangle 2">
          <a:extLst>
            <a:ext uri="{FF2B5EF4-FFF2-40B4-BE49-F238E27FC236}">
              <a16:creationId xmlns:a16="http://schemas.microsoft.com/office/drawing/2014/main" id="{E08E538A-AA10-4712-92A7-670CA93B368F}"/>
            </a:ext>
          </a:extLst>
        </xdr:cNvPr>
        <xdr:cNvSpPr/>
      </xdr:nvSpPr>
      <xdr:spPr>
        <a:xfrm>
          <a:off x="15240" y="15240"/>
          <a:ext cx="16390620" cy="640080"/>
        </a:xfrm>
        <a:prstGeom prst="rect">
          <a:avLst/>
        </a:prstGeom>
        <a:solidFill>
          <a:schemeClr val="bg2">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251460</xdr:colOff>
      <xdr:row>0</xdr:row>
      <xdr:rowOff>7620</xdr:rowOff>
    </xdr:from>
    <xdr:to>
      <xdr:col>2</xdr:col>
      <xdr:colOff>137160</xdr:colOff>
      <xdr:row>3</xdr:row>
      <xdr:rowOff>141514</xdr:rowOff>
    </xdr:to>
    <xdr:pic>
      <xdr:nvPicPr>
        <xdr:cNvPr id="4" name="Picture 3">
          <a:extLst>
            <a:ext uri="{FF2B5EF4-FFF2-40B4-BE49-F238E27FC236}">
              <a16:creationId xmlns:a16="http://schemas.microsoft.com/office/drawing/2014/main" id="{34A71C16-73F3-433B-ABA6-81CDF347367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234" r="25155"/>
        <a:stretch>
          <a:fillRect/>
        </a:stretch>
      </xdr:blipFill>
      <xdr:spPr>
        <a:xfrm>
          <a:off x="861060" y="7620"/>
          <a:ext cx="495300" cy="636814"/>
        </a:xfrm>
        <a:prstGeom prst="rect">
          <a:avLst/>
        </a:prstGeom>
      </xdr:spPr>
    </xdr:pic>
    <xdr:clientData/>
  </xdr:twoCellAnchor>
  <xdr:twoCellAnchor>
    <xdr:from>
      <xdr:col>2</xdr:col>
      <xdr:colOff>129540</xdr:colOff>
      <xdr:row>0</xdr:row>
      <xdr:rowOff>76200</xdr:rowOff>
    </xdr:from>
    <xdr:to>
      <xdr:col>6</xdr:col>
      <xdr:colOff>518160</xdr:colOff>
      <xdr:row>2</xdr:row>
      <xdr:rowOff>76200</xdr:rowOff>
    </xdr:to>
    <xdr:sp macro="" textlink="">
      <xdr:nvSpPr>
        <xdr:cNvPr id="5" name="TextBox 4">
          <a:extLst>
            <a:ext uri="{FF2B5EF4-FFF2-40B4-BE49-F238E27FC236}">
              <a16:creationId xmlns:a16="http://schemas.microsoft.com/office/drawing/2014/main" id="{F1F398BB-1F7E-41CA-A434-7F2F6E5A5A18}"/>
            </a:ext>
          </a:extLst>
        </xdr:cNvPr>
        <xdr:cNvSpPr txBox="1"/>
      </xdr:nvSpPr>
      <xdr:spPr>
        <a:xfrm>
          <a:off x="1348740" y="76200"/>
          <a:ext cx="450342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800" b="1">
              <a:solidFill>
                <a:schemeClr val="bg2">
                  <a:lumMod val="65000"/>
                </a:schemeClr>
              </a:solidFill>
            </a:rPr>
            <a:t>INDEPENDENT</a:t>
          </a:r>
          <a:endParaRPr lang="en-NG" sz="2800" b="1">
            <a:solidFill>
              <a:schemeClr val="bg2">
                <a:lumMod val="65000"/>
              </a:schemeClr>
            </a:solidFill>
          </a:endParaRPr>
        </a:p>
      </xdr:txBody>
    </xdr:sp>
    <xdr:clientData/>
  </xdr:twoCellAnchor>
  <xdr:twoCellAnchor>
    <xdr:from>
      <xdr:col>2</xdr:col>
      <xdr:colOff>137160</xdr:colOff>
      <xdr:row>1</xdr:row>
      <xdr:rowOff>160020</xdr:rowOff>
    </xdr:from>
    <xdr:to>
      <xdr:col>7</xdr:col>
      <xdr:colOff>76200</xdr:colOff>
      <xdr:row>3</xdr:row>
      <xdr:rowOff>160020</xdr:rowOff>
    </xdr:to>
    <xdr:sp macro="" textlink="">
      <xdr:nvSpPr>
        <xdr:cNvPr id="6" name="TextBox 5">
          <a:extLst>
            <a:ext uri="{FF2B5EF4-FFF2-40B4-BE49-F238E27FC236}">
              <a16:creationId xmlns:a16="http://schemas.microsoft.com/office/drawing/2014/main" id="{88D04915-1C08-46CA-945D-3AE5701FAE86}"/>
            </a:ext>
          </a:extLst>
        </xdr:cNvPr>
        <xdr:cNvSpPr txBox="1"/>
      </xdr:nvSpPr>
      <xdr:spPr>
        <a:xfrm>
          <a:off x="1356360" y="327660"/>
          <a:ext cx="55016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500">
              <a:solidFill>
                <a:srgbClr val="00B050"/>
              </a:solidFill>
            </a:rPr>
            <a:t>National Electoral</a:t>
          </a:r>
          <a:r>
            <a:rPr lang="en-US" sz="1500" baseline="0">
              <a:solidFill>
                <a:srgbClr val="00B050"/>
              </a:solidFill>
            </a:rPr>
            <a:t> Commission</a:t>
          </a:r>
          <a:endParaRPr lang="en-NG" sz="1500">
            <a:solidFill>
              <a:srgbClr val="00B050"/>
            </a:solidFill>
          </a:endParaRPr>
        </a:p>
      </xdr:txBody>
    </xdr:sp>
    <xdr:clientData/>
  </xdr:twoCellAnchor>
  <xdr:twoCellAnchor>
    <xdr:from>
      <xdr:col>9</xdr:col>
      <xdr:colOff>739486</xdr:colOff>
      <xdr:row>1</xdr:row>
      <xdr:rowOff>106680</xdr:rowOff>
    </xdr:from>
    <xdr:to>
      <xdr:col>16</xdr:col>
      <xdr:colOff>480405</xdr:colOff>
      <xdr:row>4</xdr:row>
      <xdr:rowOff>53340</xdr:rowOff>
    </xdr:to>
    <xdr:sp macro="" textlink="">
      <xdr:nvSpPr>
        <xdr:cNvPr id="7" name="TextBox 6">
          <a:extLst>
            <a:ext uri="{FF2B5EF4-FFF2-40B4-BE49-F238E27FC236}">
              <a16:creationId xmlns:a16="http://schemas.microsoft.com/office/drawing/2014/main" id="{295864FE-F3F4-41D8-93F5-DDF7350E464F}"/>
            </a:ext>
          </a:extLst>
        </xdr:cNvPr>
        <xdr:cNvSpPr txBox="1"/>
      </xdr:nvSpPr>
      <xdr:spPr>
        <a:xfrm>
          <a:off x="11049346" y="274320"/>
          <a:ext cx="5227319" cy="449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50" b="1">
              <a:solidFill>
                <a:srgbClr val="00B050"/>
              </a:solidFill>
            </a:rPr>
            <a:t>National Election Results Overview</a:t>
          </a:r>
        </a:p>
        <a:p>
          <a:pPr algn="l"/>
          <a:r>
            <a:rPr lang="en-US" sz="1050">
              <a:solidFill>
                <a:srgbClr val="00B050"/>
              </a:solidFill>
            </a:rPr>
            <a:t>Interactive analysis of voter participation and party performance across polling units.</a:t>
          </a:r>
          <a:endParaRPr lang="en-NG" sz="1050">
            <a:solidFill>
              <a:srgbClr val="00B050"/>
            </a:solidFill>
          </a:endParaRPr>
        </a:p>
      </xdr:txBody>
    </xdr:sp>
    <xdr:clientData/>
  </xdr:twoCellAnchor>
  <xdr:twoCellAnchor>
    <xdr:from>
      <xdr:col>6</xdr:col>
      <xdr:colOff>600779</xdr:colOff>
      <xdr:row>0</xdr:row>
      <xdr:rowOff>0</xdr:rowOff>
    </xdr:from>
    <xdr:to>
      <xdr:col>7</xdr:col>
      <xdr:colOff>2258958</xdr:colOff>
      <xdr:row>1</xdr:row>
      <xdr:rowOff>88900</xdr:rowOff>
    </xdr:to>
    <xdr:sp macro="" textlink="">
      <xdr:nvSpPr>
        <xdr:cNvPr id="23" name="TextBox 22">
          <a:extLst>
            <a:ext uri="{FF2B5EF4-FFF2-40B4-BE49-F238E27FC236}">
              <a16:creationId xmlns:a16="http://schemas.microsoft.com/office/drawing/2014/main" id="{5724E4F1-EAB6-479D-848A-AC5CF01E65DE}"/>
            </a:ext>
          </a:extLst>
        </xdr:cNvPr>
        <xdr:cNvSpPr txBox="1"/>
      </xdr:nvSpPr>
      <xdr:spPr>
        <a:xfrm>
          <a:off x="5934779" y="0"/>
          <a:ext cx="3105979" cy="256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Leading Party</a:t>
          </a:r>
          <a:endParaRPr lang="en-NG" sz="1400">
            <a:solidFill>
              <a:schemeClr val="bg2">
                <a:lumMod val="50000"/>
              </a:schemeClr>
            </a:solidFill>
          </a:endParaRPr>
        </a:p>
      </xdr:txBody>
    </xdr:sp>
    <xdr:clientData/>
  </xdr:twoCellAnchor>
  <xdr:twoCellAnchor>
    <xdr:from>
      <xdr:col>6</xdr:col>
      <xdr:colOff>497070</xdr:colOff>
      <xdr:row>1</xdr:row>
      <xdr:rowOff>63500</xdr:rowOff>
    </xdr:from>
    <xdr:to>
      <xdr:col>7</xdr:col>
      <xdr:colOff>510323</xdr:colOff>
      <xdr:row>2</xdr:row>
      <xdr:rowOff>127000</xdr:rowOff>
    </xdr:to>
    <xdr:sp macro="" textlink="Sheet7!B19">
      <xdr:nvSpPr>
        <xdr:cNvPr id="24" name="Rectangle 23">
          <a:extLst>
            <a:ext uri="{FF2B5EF4-FFF2-40B4-BE49-F238E27FC236}">
              <a16:creationId xmlns:a16="http://schemas.microsoft.com/office/drawing/2014/main" id="{478D1969-8A20-4165-A9FA-4D567A6146FD}"/>
            </a:ext>
          </a:extLst>
        </xdr:cNvPr>
        <xdr:cNvSpPr/>
      </xdr:nvSpPr>
      <xdr:spPr>
        <a:xfrm>
          <a:off x="5831070" y="231140"/>
          <a:ext cx="1461053" cy="2311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49D73CF-8B19-4AF9-B417-6A561236C5A9}" type="TxLink">
            <a:rPr lang="en-US" sz="1400" b="1" i="0" u="none" strike="noStrike">
              <a:solidFill>
                <a:srgbClr val="00B050"/>
              </a:solidFill>
              <a:latin typeface="Arial"/>
              <a:cs typeface="Arial"/>
            </a:rPr>
            <a:pPr algn="ctr"/>
            <a:t>Party A</a:t>
          </a:fld>
          <a:endParaRPr lang="en-NG" sz="1800" b="1">
            <a:solidFill>
              <a:srgbClr val="00B050"/>
            </a:solidFill>
          </a:endParaRPr>
        </a:p>
      </xdr:txBody>
    </xdr:sp>
    <xdr:clientData/>
  </xdr:twoCellAnchor>
  <xdr:twoCellAnchor>
    <xdr:from>
      <xdr:col>6</xdr:col>
      <xdr:colOff>911752</xdr:colOff>
      <xdr:row>2</xdr:row>
      <xdr:rowOff>74418</xdr:rowOff>
    </xdr:from>
    <xdr:to>
      <xdr:col>7</xdr:col>
      <xdr:colOff>338030</xdr:colOff>
      <xdr:row>4</xdr:row>
      <xdr:rowOff>12487</xdr:rowOff>
    </xdr:to>
    <xdr:sp macro="" textlink="Sheet7!C19">
      <xdr:nvSpPr>
        <xdr:cNvPr id="25" name="Rectangle 24">
          <a:extLst>
            <a:ext uri="{FF2B5EF4-FFF2-40B4-BE49-F238E27FC236}">
              <a16:creationId xmlns:a16="http://schemas.microsoft.com/office/drawing/2014/main" id="{824C3874-53D5-4324-B612-9BCCBB8DE1D8}"/>
            </a:ext>
          </a:extLst>
        </xdr:cNvPr>
        <xdr:cNvSpPr/>
      </xdr:nvSpPr>
      <xdr:spPr>
        <a:xfrm>
          <a:off x="6245752" y="409698"/>
          <a:ext cx="874078" cy="27334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841D40E-98D9-4820-8B79-4F39A072E49D}" type="TxLink">
            <a:rPr lang="en-US" sz="1400" b="1" i="0" u="none" strike="noStrike">
              <a:solidFill>
                <a:srgbClr val="00B050"/>
              </a:solidFill>
              <a:latin typeface="Arial"/>
              <a:cs typeface="Arial"/>
            </a:rPr>
            <a:pPr algn="l"/>
            <a:t>50.30%</a:t>
          </a:fld>
          <a:endParaRPr lang="en-NG" sz="1800" b="1">
            <a:solidFill>
              <a:srgbClr val="00B050"/>
            </a:solidFill>
          </a:endParaRPr>
        </a:p>
      </xdr:txBody>
    </xdr:sp>
    <xdr:clientData/>
  </xdr:twoCellAnchor>
  <xdr:twoCellAnchor>
    <xdr:from>
      <xdr:col>7</xdr:col>
      <xdr:colOff>107483</xdr:colOff>
      <xdr:row>2</xdr:row>
      <xdr:rowOff>88900</xdr:rowOff>
    </xdr:from>
    <xdr:to>
      <xdr:col>7</xdr:col>
      <xdr:colOff>2066965</xdr:colOff>
      <xdr:row>4</xdr:row>
      <xdr:rowOff>12700</xdr:rowOff>
    </xdr:to>
    <xdr:sp macro="" textlink="">
      <xdr:nvSpPr>
        <xdr:cNvPr id="26" name="TextBox 25">
          <a:extLst>
            <a:ext uri="{FF2B5EF4-FFF2-40B4-BE49-F238E27FC236}">
              <a16:creationId xmlns:a16="http://schemas.microsoft.com/office/drawing/2014/main" id="{DA7E2286-D3E7-42E6-B157-0F13324D7F0A}"/>
            </a:ext>
          </a:extLst>
        </xdr:cNvPr>
        <xdr:cNvSpPr txBox="1"/>
      </xdr:nvSpPr>
      <xdr:spPr>
        <a:xfrm>
          <a:off x="6889283" y="424180"/>
          <a:ext cx="1959482"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of total votes</a:t>
          </a:r>
          <a:endParaRPr lang="en-NG" sz="1400">
            <a:solidFill>
              <a:schemeClr val="bg2">
                <a:lumMod val="50000"/>
              </a:schemeClr>
            </a:solidFill>
          </a:endParaRPr>
        </a:p>
      </xdr:txBody>
    </xdr:sp>
    <xdr:clientData/>
  </xdr:twoCellAnchor>
  <xdr:twoCellAnchor>
    <xdr:from>
      <xdr:col>6</xdr:col>
      <xdr:colOff>549979</xdr:colOff>
      <xdr:row>2</xdr:row>
      <xdr:rowOff>72858</xdr:rowOff>
    </xdr:from>
    <xdr:to>
      <xdr:col>6</xdr:col>
      <xdr:colOff>1225826</xdr:colOff>
      <xdr:row>4</xdr:row>
      <xdr:rowOff>33653</xdr:rowOff>
    </xdr:to>
    <xdr:sp macro="" textlink="">
      <xdr:nvSpPr>
        <xdr:cNvPr id="27" name="TextBox 26">
          <a:extLst>
            <a:ext uri="{FF2B5EF4-FFF2-40B4-BE49-F238E27FC236}">
              <a16:creationId xmlns:a16="http://schemas.microsoft.com/office/drawing/2014/main" id="{45E549B7-65A6-4626-88B8-5C8BCC4386C5}"/>
            </a:ext>
          </a:extLst>
        </xdr:cNvPr>
        <xdr:cNvSpPr txBox="1"/>
      </xdr:nvSpPr>
      <xdr:spPr>
        <a:xfrm>
          <a:off x="5883979" y="408138"/>
          <a:ext cx="675847" cy="296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solidFill>
                <a:schemeClr val="bg2">
                  <a:lumMod val="50000"/>
                </a:schemeClr>
              </a:solidFill>
            </a:rPr>
            <a:t>with</a:t>
          </a:r>
          <a:endParaRPr lang="en-NG" sz="1400">
            <a:solidFill>
              <a:schemeClr val="bg2">
                <a:lumMod val="50000"/>
              </a:schemeClr>
            </a:solidFill>
          </a:endParaRPr>
        </a:p>
      </xdr:txBody>
    </xdr:sp>
    <xdr:clientData/>
  </xdr:twoCellAnchor>
  <xdr:twoCellAnchor>
    <xdr:from>
      <xdr:col>0</xdr:col>
      <xdr:colOff>0</xdr:colOff>
      <xdr:row>37</xdr:row>
      <xdr:rowOff>79374</xdr:rowOff>
    </xdr:from>
    <xdr:to>
      <xdr:col>17</xdr:col>
      <xdr:colOff>0</xdr:colOff>
      <xdr:row>39</xdr:row>
      <xdr:rowOff>38153</xdr:rowOff>
    </xdr:to>
    <xdr:sp macro="" textlink="">
      <xdr:nvSpPr>
        <xdr:cNvPr id="44" name="Rectangle 43">
          <a:extLst>
            <a:ext uri="{FF2B5EF4-FFF2-40B4-BE49-F238E27FC236}">
              <a16:creationId xmlns:a16="http://schemas.microsoft.com/office/drawing/2014/main" id="{E5E6A86D-BF6D-4F65-98CE-6F3E7ACB2CBE}"/>
            </a:ext>
          </a:extLst>
        </xdr:cNvPr>
        <xdr:cNvSpPr/>
      </xdr:nvSpPr>
      <xdr:spPr>
        <a:xfrm rot="16200000">
          <a:off x="8074977" y="-1792923"/>
          <a:ext cx="255906" cy="16405860"/>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984</xdr:colOff>
      <xdr:row>11</xdr:row>
      <xdr:rowOff>100170</xdr:rowOff>
    </xdr:from>
    <xdr:to>
      <xdr:col>5</xdr:col>
      <xdr:colOff>852714</xdr:colOff>
      <xdr:row>29</xdr:row>
      <xdr:rowOff>78618</xdr:rowOff>
    </xdr:to>
    <xdr:graphicFrame macro="">
      <xdr:nvGraphicFramePr>
        <xdr:cNvPr id="22" name="Chart 21">
          <a:extLst>
            <a:ext uri="{FF2B5EF4-FFF2-40B4-BE49-F238E27FC236}">
              <a16:creationId xmlns:a16="http://schemas.microsoft.com/office/drawing/2014/main" id="{374372E6-0326-18FF-F7B5-B504476A40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xdr:row>
      <xdr:rowOff>86044</xdr:rowOff>
    </xdr:from>
    <xdr:to>
      <xdr:col>7</xdr:col>
      <xdr:colOff>2376236</xdr:colOff>
      <xdr:row>12</xdr:row>
      <xdr:rowOff>108058</xdr:rowOff>
    </xdr:to>
    <xdr:sp macro="" textlink="">
      <xdr:nvSpPr>
        <xdr:cNvPr id="37" name="TextBox 36">
          <a:extLst>
            <a:ext uri="{FF2B5EF4-FFF2-40B4-BE49-F238E27FC236}">
              <a16:creationId xmlns:a16="http://schemas.microsoft.com/office/drawing/2014/main" id="{BDA1FA07-D882-7302-EDFA-FD30DBDE571C}"/>
            </a:ext>
          </a:extLst>
        </xdr:cNvPr>
        <xdr:cNvSpPr txBox="1"/>
      </xdr:nvSpPr>
      <xdr:spPr>
        <a:xfrm>
          <a:off x="0" y="1327822"/>
          <a:ext cx="9276569" cy="642903"/>
        </a:xfrm>
        <a:prstGeom prst="rect">
          <a:avLst/>
        </a:prstGeom>
        <a:no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2">
                  <a:lumMod val="50000"/>
                </a:schemeClr>
              </a:solidFill>
            </a:rPr>
            <a:t>Goegraphical Distribution of Votes (Reflecting</a:t>
          </a:r>
          <a:r>
            <a:rPr lang="en-US" sz="2400" b="1" baseline="0">
              <a:solidFill>
                <a:schemeClr val="bg2">
                  <a:lumMod val="50000"/>
                </a:schemeClr>
              </a:solidFill>
            </a:rPr>
            <a:t> state Votes)</a:t>
          </a:r>
          <a:endParaRPr lang="en-NG" sz="2400" b="1">
            <a:solidFill>
              <a:schemeClr val="bg2">
                <a:lumMod val="50000"/>
              </a:schemeClr>
            </a:solidFill>
          </a:endParaRPr>
        </a:p>
      </xdr:txBody>
    </xdr:sp>
    <xdr:clientData/>
  </xdr:twoCellAnchor>
  <xdr:twoCellAnchor>
    <xdr:from>
      <xdr:col>5</xdr:col>
      <xdr:colOff>1233714</xdr:colOff>
      <xdr:row>13</xdr:row>
      <xdr:rowOff>151188</xdr:rowOff>
    </xdr:from>
    <xdr:to>
      <xdr:col>9</xdr:col>
      <xdr:colOff>489858</xdr:colOff>
      <xdr:row>31</xdr:row>
      <xdr:rowOff>114904</xdr:rowOff>
    </xdr:to>
    <xdr:sp macro="" textlink="">
      <xdr:nvSpPr>
        <xdr:cNvPr id="14" name="TextBox 13">
          <a:extLst>
            <a:ext uri="{FF2B5EF4-FFF2-40B4-BE49-F238E27FC236}">
              <a16:creationId xmlns:a16="http://schemas.microsoft.com/office/drawing/2014/main" id="{251D9C39-09C8-4FD9-86C4-626D9489ADCB}"/>
            </a:ext>
          </a:extLst>
        </xdr:cNvPr>
        <xdr:cNvSpPr txBox="1"/>
      </xdr:nvSpPr>
      <xdr:spPr>
        <a:xfrm>
          <a:off x="5071936" y="2169077"/>
          <a:ext cx="5916589" cy="2757716"/>
        </a:xfrm>
        <a:prstGeom prst="rect">
          <a:avLst/>
        </a:prstGeom>
        <a:solidFill>
          <a:schemeClr val="l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eaLnBrk="1" fontAlgn="auto" latinLnBrk="0" hangingPunct="1"/>
          <a:r>
            <a:rPr lang="en-US" sz="3200" b="1">
              <a:solidFill>
                <a:schemeClr val="accent4"/>
              </a:solidFill>
              <a:effectLst/>
              <a:latin typeface="+mn-lt"/>
              <a:ea typeface="+mn-ea"/>
              <a:cs typeface="+mn-cs"/>
            </a:rPr>
            <a:t>The</a:t>
          </a:r>
          <a:r>
            <a:rPr lang="en-US" sz="3200" b="1" baseline="0">
              <a:solidFill>
                <a:schemeClr val="accent4"/>
              </a:solidFill>
              <a:effectLst/>
              <a:latin typeface="+mn-lt"/>
              <a:ea typeface="+mn-ea"/>
              <a:cs typeface="+mn-cs"/>
            </a:rPr>
            <a:t> Macro Trend</a:t>
          </a:r>
          <a:r>
            <a:rPr lang="en-US" sz="3200" b="0" baseline="0">
              <a:solidFill>
                <a:schemeClr val="accent4"/>
              </a:solidFill>
              <a:effectLst/>
              <a:latin typeface="+mn-lt"/>
              <a:ea typeface="+mn-ea"/>
              <a:cs typeface="+mn-cs"/>
            </a:rPr>
            <a:t>: </a:t>
          </a:r>
        </a:p>
        <a:p>
          <a:pPr algn="l" eaLnBrk="1" fontAlgn="auto" latinLnBrk="0" hangingPunct="1"/>
          <a:endParaRPr lang="en-US" sz="2400" b="0" baseline="0">
            <a:solidFill>
              <a:schemeClr val="accent4"/>
            </a:solidFill>
            <a:effectLst/>
            <a:latin typeface="+mn-lt"/>
            <a:ea typeface="+mn-ea"/>
            <a:cs typeface="+mn-cs"/>
          </a:endParaRPr>
        </a:p>
        <a:p>
          <a:pPr algn="l" eaLnBrk="1" fontAlgn="auto" latinLnBrk="0" hangingPunct="1"/>
          <a:r>
            <a:rPr lang="en-US" sz="2400" b="0" baseline="0">
              <a:solidFill>
                <a:schemeClr val="accent4"/>
              </a:solidFill>
              <a:effectLst/>
              <a:latin typeface="+mn-lt"/>
              <a:ea typeface="+mn-ea"/>
              <a:cs typeface="+mn-cs"/>
            </a:rPr>
            <a:t>Total vote volume varies significantly across the key states, with Abuja and Rivers emerging as the highest-volume regions in this subset, followed by Kano and Lagos.</a:t>
          </a:r>
          <a:endParaRPr lang="en-US" sz="2400">
            <a:solidFill>
              <a:schemeClr val="accent4"/>
            </a:solidFill>
            <a:effectLst/>
          </a:endParaRPr>
        </a:p>
      </xdr:txBody>
    </xdr:sp>
    <xdr:clientData/>
  </xdr:twoCellAnchor>
  <xdr:twoCellAnchor>
    <xdr:from>
      <xdr:col>9</xdr:col>
      <xdr:colOff>816429</xdr:colOff>
      <xdr:row>9</xdr:row>
      <xdr:rowOff>42332</xdr:rowOff>
    </xdr:from>
    <xdr:to>
      <xdr:col>16</xdr:col>
      <xdr:colOff>235858</xdr:colOff>
      <xdr:row>35</xdr:row>
      <xdr:rowOff>28222</xdr:rowOff>
    </xdr:to>
    <xdr:sp macro="" textlink="">
      <xdr:nvSpPr>
        <xdr:cNvPr id="16" name="Rectangle: Folded Corner 15">
          <a:extLst>
            <a:ext uri="{FF2B5EF4-FFF2-40B4-BE49-F238E27FC236}">
              <a16:creationId xmlns:a16="http://schemas.microsoft.com/office/drawing/2014/main" id="{43500C3D-98C4-44A5-B739-4DA2609EAF43}"/>
            </a:ext>
          </a:extLst>
        </xdr:cNvPr>
        <xdr:cNvSpPr/>
      </xdr:nvSpPr>
      <xdr:spPr>
        <a:xfrm>
          <a:off x="11315096" y="1439332"/>
          <a:ext cx="5007429" cy="4021668"/>
        </a:xfrm>
        <a:prstGeom prst="foldedCorner">
          <a:avLst>
            <a:gd name="adj" fmla="val 1103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200" b="1">
              <a:solidFill>
                <a:schemeClr val="accent4"/>
              </a:solidFill>
              <a:effectLst/>
              <a:latin typeface="+mn-lt"/>
              <a:ea typeface="+mn-ea"/>
              <a:cs typeface="+mn-cs"/>
            </a:rPr>
            <a:t>Strategic Takeaway: </a:t>
          </a:r>
          <a:endParaRPr lang="en-US" sz="2400" b="1">
            <a:solidFill>
              <a:schemeClr val="accent4"/>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2400" b="1">
            <a:solidFill>
              <a:schemeClr val="accent4"/>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2200" b="0">
              <a:solidFill>
                <a:schemeClr val="accent4"/>
              </a:solidFill>
              <a:effectLst/>
              <a:latin typeface="+mn-lt"/>
              <a:ea typeface="+mn-ea"/>
              <a:cs typeface="+mn-cs"/>
            </a:rPr>
            <a:t>The high voter turnout in Abuja and Rivers indiicates heavy mobilization or higher concentration of registered voters actively participating. For stakeholders, these states represent the critical macro-battlegrounds where capturing a majority significantly swings the national total.</a:t>
          </a:r>
          <a:endParaRPr lang="en-US" sz="2200">
            <a:solidFill>
              <a:schemeClr val="accent4"/>
            </a:solidFill>
            <a:effectLst/>
          </a:endParaRPr>
        </a:p>
        <a:p>
          <a:pPr algn="l"/>
          <a:endParaRPr lang="en-US" sz="2400">
            <a:solidFill>
              <a:schemeClr val="accent4"/>
            </a:solidFill>
          </a:endParaRPr>
        </a:p>
      </xdr:txBody>
    </xdr:sp>
    <xdr:clientData/>
  </xdr:twoCellAnchor>
  <xdr:twoCellAnchor>
    <xdr:from>
      <xdr:col>5</xdr:col>
      <xdr:colOff>1233714</xdr:colOff>
      <xdr:row>45</xdr:row>
      <xdr:rowOff>126999</xdr:rowOff>
    </xdr:from>
    <xdr:to>
      <xdr:col>9</xdr:col>
      <xdr:colOff>489858</xdr:colOff>
      <xdr:row>63</xdr:row>
      <xdr:rowOff>90714</xdr:rowOff>
    </xdr:to>
    <xdr:sp macro="" textlink="">
      <xdr:nvSpPr>
        <xdr:cNvPr id="35" name="TextBox 34">
          <a:extLst>
            <a:ext uri="{FF2B5EF4-FFF2-40B4-BE49-F238E27FC236}">
              <a16:creationId xmlns:a16="http://schemas.microsoft.com/office/drawing/2014/main" id="{729348DE-39FE-4AA3-951F-5D72E59DB7D4}"/>
            </a:ext>
          </a:extLst>
        </xdr:cNvPr>
        <xdr:cNvSpPr txBox="1"/>
      </xdr:nvSpPr>
      <xdr:spPr>
        <a:xfrm>
          <a:off x="5061857" y="7474856"/>
          <a:ext cx="5914572" cy="2902858"/>
        </a:xfrm>
        <a:prstGeom prst="rect">
          <a:avLst/>
        </a:prstGeom>
        <a:solidFill>
          <a:schemeClr val="l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eaLnBrk="1" fontAlgn="auto" latinLnBrk="0" hangingPunct="1"/>
          <a:r>
            <a:rPr lang="en-US" sz="3200" b="1">
              <a:solidFill>
                <a:schemeClr val="accent4"/>
              </a:solidFill>
              <a:effectLst/>
              <a:latin typeface="+mn-lt"/>
              <a:ea typeface="+mn-ea"/>
              <a:cs typeface="+mn-cs"/>
            </a:rPr>
            <a:t>The Two-Party Gridlock</a:t>
          </a:r>
          <a:r>
            <a:rPr lang="en-US" sz="3200" b="0" baseline="0">
              <a:solidFill>
                <a:schemeClr val="accent4"/>
              </a:solidFill>
              <a:effectLst/>
              <a:latin typeface="+mn-lt"/>
              <a:ea typeface="+mn-ea"/>
              <a:cs typeface="+mn-cs"/>
            </a:rPr>
            <a:t>: </a:t>
          </a:r>
        </a:p>
        <a:p>
          <a:pPr algn="l" eaLnBrk="1" fontAlgn="auto" latinLnBrk="0" hangingPunct="1"/>
          <a:endParaRPr lang="en-US" sz="2400" b="0" baseline="0">
            <a:solidFill>
              <a:schemeClr val="accent4"/>
            </a:solidFill>
            <a:effectLst/>
            <a:latin typeface="+mn-lt"/>
            <a:ea typeface="+mn-ea"/>
            <a:cs typeface="+mn-cs"/>
          </a:endParaRPr>
        </a:p>
        <a:p>
          <a:pPr algn="l" eaLnBrk="1" fontAlgn="auto" latinLnBrk="0" hangingPunct="1"/>
          <a:r>
            <a:rPr lang="en-US" sz="2400" b="0" baseline="0">
              <a:solidFill>
                <a:schemeClr val="accent4"/>
              </a:solidFill>
              <a:effectLst/>
              <a:latin typeface="+mn-lt"/>
              <a:ea typeface="+mn-ea"/>
              <a:cs typeface="+mn-cs"/>
            </a:rPr>
            <a:t>The national vote share is an absolute dead heat between the two dominant parties, with one holding 50% and the other holding 48% of the total votes cast.</a:t>
          </a:r>
          <a:endParaRPr lang="en-US" sz="2400">
            <a:solidFill>
              <a:schemeClr val="accent4"/>
            </a:solidFill>
            <a:effectLst/>
          </a:endParaRPr>
        </a:p>
      </xdr:txBody>
    </xdr:sp>
    <xdr:clientData/>
  </xdr:twoCellAnchor>
  <xdr:twoCellAnchor>
    <xdr:from>
      <xdr:col>9</xdr:col>
      <xdr:colOff>816429</xdr:colOff>
      <xdr:row>41</xdr:row>
      <xdr:rowOff>18142</xdr:rowOff>
    </xdr:from>
    <xdr:to>
      <xdr:col>16</xdr:col>
      <xdr:colOff>235858</xdr:colOff>
      <xdr:row>71</xdr:row>
      <xdr:rowOff>31102</xdr:rowOff>
    </xdr:to>
    <xdr:sp macro="" textlink="">
      <xdr:nvSpPr>
        <xdr:cNvPr id="38" name="Rectangle: Folded Corner 37">
          <a:extLst>
            <a:ext uri="{FF2B5EF4-FFF2-40B4-BE49-F238E27FC236}">
              <a16:creationId xmlns:a16="http://schemas.microsoft.com/office/drawing/2014/main" id="{48A82AD9-7DB8-4D94-B50F-8106F085A022}"/>
            </a:ext>
          </a:extLst>
        </xdr:cNvPr>
        <xdr:cNvSpPr/>
      </xdr:nvSpPr>
      <xdr:spPr>
        <a:xfrm>
          <a:off x="11111205" y="7031652"/>
          <a:ext cx="4877837" cy="5144797"/>
        </a:xfrm>
        <a:prstGeom prst="foldedCorner">
          <a:avLst>
            <a:gd name="adj" fmla="val 1103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200" b="1">
              <a:solidFill>
                <a:schemeClr val="accent4"/>
              </a:solidFill>
              <a:effectLst/>
              <a:latin typeface="+mn-lt"/>
              <a:ea typeface="+mn-ea"/>
              <a:cs typeface="+mn-cs"/>
            </a:rPr>
            <a:t>The Spoiler Effect: </a:t>
          </a:r>
          <a:endParaRPr lang="en-US" sz="2400" b="1">
            <a:solidFill>
              <a:schemeClr val="accent4"/>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2400" b="1">
            <a:solidFill>
              <a:schemeClr val="accent4"/>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2400" b="0">
              <a:solidFill>
                <a:schemeClr val="accent4"/>
              </a:solidFill>
              <a:effectLst/>
              <a:latin typeface="+mn-lt"/>
              <a:ea typeface="+mn-ea"/>
              <a:cs typeface="+mn-cs"/>
            </a:rPr>
            <a:t>The third party holds a tiny 2% sliver of the vote. While mathematically out of the running for a majority, in a race this tight (a mere 2% gap between the top two), that minor party’s 2% share acts as the ultimate kingmaker or spoiler effect. Shifting those voters could completely flip the election outcome.</a:t>
          </a:r>
          <a:endParaRPr lang="en-US" sz="2400">
            <a:solidFill>
              <a:schemeClr val="accent4"/>
            </a:solidFill>
            <a:effectLst/>
          </a:endParaRPr>
        </a:p>
        <a:p>
          <a:pPr algn="l"/>
          <a:endParaRPr lang="en-US" sz="2400">
            <a:solidFill>
              <a:schemeClr val="accent4"/>
            </a:solidFill>
          </a:endParaRPr>
        </a:p>
      </xdr:txBody>
    </xdr:sp>
    <xdr:clientData/>
  </xdr:twoCellAnchor>
  <xdr:twoCellAnchor>
    <xdr:from>
      <xdr:col>0</xdr:col>
      <xdr:colOff>90715</xdr:colOff>
      <xdr:row>3</xdr:row>
      <xdr:rowOff>106841</xdr:rowOff>
    </xdr:from>
    <xdr:to>
      <xdr:col>15</xdr:col>
      <xdr:colOff>145144</xdr:colOff>
      <xdr:row>9</xdr:row>
      <xdr:rowOff>6047</xdr:rowOff>
    </xdr:to>
    <xdr:sp macro="" textlink="">
      <xdr:nvSpPr>
        <xdr:cNvPr id="17" name="TextBox 16">
          <a:extLst>
            <a:ext uri="{FF2B5EF4-FFF2-40B4-BE49-F238E27FC236}">
              <a16:creationId xmlns:a16="http://schemas.microsoft.com/office/drawing/2014/main" id="{7614D5E0-E934-40D2-A616-756DBF0E3F71}"/>
            </a:ext>
          </a:extLst>
        </xdr:cNvPr>
        <xdr:cNvSpPr txBox="1"/>
      </xdr:nvSpPr>
      <xdr:spPr>
        <a:xfrm>
          <a:off x="90715" y="572508"/>
          <a:ext cx="15520207" cy="83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bg1"/>
              </a:solidFill>
            </a:rPr>
            <a:t>Executive Overview: Performance Insights</a:t>
          </a:r>
        </a:p>
      </xdr:txBody>
    </xdr:sp>
    <xdr:clientData/>
  </xdr:twoCellAnchor>
  <xdr:twoCellAnchor>
    <xdr:from>
      <xdr:col>0</xdr:col>
      <xdr:colOff>0</xdr:colOff>
      <xdr:row>40</xdr:row>
      <xdr:rowOff>28321</xdr:rowOff>
    </xdr:from>
    <xdr:to>
      <xdr:col>7</xdr:col>
      <xdr:colOff>2376236</xdr:colOff>
      <xdr:row>43</xdr:row>
      <xdr:rowOff>146547</xdr:rowOff>
    </xdr:to>
    <xdr:sp macro="" textlink="">
      <xdr:nvSpPr>
        <xdr:cNvPr id="40" name="TextBox 39">
          <a:extLst>
            <a:ext uri="{FF2B5EF4-FFF2-40B4-BE49-F238E27FC236}">
              <a16:creationId xmlns:a16="http://schemas.microsoft.com/office/drawing/2014/main" id="{8F80812C-1B09-446F-A8E5-F15740947217}"/>
            </a:ext>
          </a:extLst>
        </xdr:cNvPr>
        <xdr:cNvSpPr txBox="1"/>
      </xdr:nvSpPr>
      <xdr:spPr>
        <a:xfrm>
          <a:off x="0" y="6205139"/>
          <a:ext cx="9284266" cy="637772"/>
        </a:xfrm>
        <a:prstGeom prst="rect">
          <a:avLst/>
        </a:prstGeom>
        <a:no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2">
                  <a:lumMod val="50000"/>
                </a:schemeClr>
              </a:solidFill>
            </a:rPr>
            <a:t>National Market Share (Reflecting Party Votes)</a:t>
          </a:r>
          <a:endParaRPr lang="en-NG" sz="2400" b="1">
            <a:solidFill>
              <a:schemeClr val="bg2">
                <a:lumMod val="50000"/>
              </a:schemeClr>
            </a:solidFill>
          </a:endParaRPr>
        </a:p>
      </xdr:txBody>
    </xdr:sp>
    <xdr:clientData/>
  </xdr:twoCellAnchor>
  <xdr:twoCellAnchor>
    <xdr:from>
      <xdr:col>0</xdr:col>
      <xdr:colOff>25502</xdr:colOff>
      <xdr:row>44</xdr:row>
      <xdr:rowOff>-1</xdr:rowOff>
    </xdr:from>
    <xdr:to>
      <xdr:col>5</xdr:col>
      <xdr:colOff>1197429</xdr:colOff>
      <xdr:row>65</xdr:row>
      <xdr:rowOff>139958</xdr:rowOff>
    </xdr:to>
    <xdr:graphicFrame macro="">
      <xdr:nvGraphicFramePr>
        <xdr:cNvPr id="15" name="Chart 14">
          <a:extLst>
            <a:ext uri="{FF2B5EF4-FFF2-40B4-BE49-F238E27FC236}">
              <a16:creationId xmlns:a16="http://schemas.microsoft.com/office/drawing/2014/main" id="{331AD067-08E4-87A6-7BA2-0B335D45D4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72</xdr:row>
      <xdr:rowOff>157129</xdr:rowOff>
    </xdr:from>
    <xdr:to>
      <xdr:col>17</xdr:col>
      <xdr:colOff>0</xdr:colOff>
      <xdr:row>74</xdr:row>
      <xdr:rowOff>115908</xdr:rowOff>
    </xdr:to>
    <xdr:sp macro="" textlink="">
      <xdr:nvSpPr>
        <xdr:cNvPr id="18" name="Rectangle 17">
          <a:extLst>
            <a:ext uri="{FF2B5EF4-FFF2-40B4-BE49-F238E27FC236}">
              <a16:creationId xmlns:a16="http://schemas.microsoft.com/office/drawing/2014/main" id="{8B0751BA-9E27-4E72-1046-8AD16B69C315}"/>
            </a:ext>
          </a:extLst>
        </xdr:cNvPr>
        <xdr:cNvSpPr/>
      </xdr:nvSpPr>
      <xdr:spPr>
        <a:xfrm rot="16200000">
          <a:off x="8029386" y="4444151"/>
          <a:ext cx="300902" cy="16359673"/>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1233714</xdr:colOff>
      <xdr:row>81</xdr:row>
      <xdr:rowOff>49244</xdr:rowOff>
    </xdr:from>
    <xdr:to>
      <xdr:col>9</xdr:col>
      <xdr:colOff>489858</xdr:colOff>
      <xdr:row>99</xdr:row>
      <xdr:rowOff>12959</xdr:rowOff>
    </xdr:to>
    <xdr:sp macro="" textlink="">
      <xdr:nvSpPr>
        <xdr:cNvPr id="19" name="TextBox 18">
          <a:extLst>
            <a:ext uri="{FF2B5EF4-FFF2-40B4-BE49-F238E27FC236}">
              <a16:creationId xmlns:a16="http://schemas.microsoft.com/office/drawing/2014/main" id="{02FD9243-8CE3-6F65-C3B1-A24292D34624}"/>
            </a:ext>
          </a:extLst>
        </xdr:cNvPr>
        <xdr:cNvSpPr txBox="1"/>
      </xdr:nvSpPr>
      <xdr:spPr>
        <a:xfrm>
          <a:off x="4997061" y="13905203"/>
          <a:ext cx="5787573" cy="3042817"/>
        </a:xfrm>
        <a:prstGeom prst="rect">
          <a:avLst/>
        </a:prstGeom>
        <a:solidFill>
          <a:schemeClr val="l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eaLnBrk="1" fontAlgn="auto" latinLnBrk="0" hangingPunct="1"/>
          <a:r>
            <a:rPr lang="en-US" sz="3200" b="1">
              <a:solidFill>
                <a:schemeClr val="accent4"/>
              </a:solidFill>
              <a:effectLst/>
              <a:latin typeface="+mn-lt"/>
              <a:ea typeface="+mn-ea"/>
              <a:cs typeface="+mn-cs"/>
            </a:rPr>
            <a:t>LGA Dominance:</a:t>
          </a:r>
          <a:r>
            <a:rPr lang="en-US" sz="3200" b="0" baseline="0">
              <a:solidFill>
                <a:schemeClr val="accent4"/>
              </a:solidFill>
              <a:effectLst/>
              <a:latin typeface="+mn-lt"/>
              <a:ea typeface="+mn-ea"/>
              <a:cs typeface="+mn-cs"/>
            </a:rPr>
            <a:t> </a:t>
          </a:r>
        </a:p>
        <a:p>
          <a:pPr algn="l" eaLnBrk="1" fontAlgn="auto" latinLnBrk="0" hangingPunct="1"/>
          <a:endParaRPr lang="en-US" sz="2400" b="0" baseline="0">
            <a:solidFill>
              <a:schemeClr val="accent4"/>
            </a:solidFill>
            <a:effectLst/>
            <a:latin typeface="+mn-lt"/>
            <a:ea typeface="+mn-ea"/>
            <a:cs typeface="+mn-cs"/>
          </a:endParaRPr>
        </a:p>
        <a:p>
          <a:pPr algn="l" eaLnBrk="1" fontAlgn="auto" latinLnBrk="0" hangingPunct="1"/>
          <a:r>
            <a:rPr lang="en-US" sz="2400" b="0" baseline="0">
              <a:solidFill>
                <a:schemeClr val="accent4"/>
              </a:solidFill>
              <a:effectLst/>
              <a:latin typeface="+mn-lt"/>
              <a:ea typeface="+mn-ea"/>
              <a:cs typeface="+mn-cs"/>
            </a:rPr>
            <a:t>The </a:t>
          </a:r>
          <a:r>
            <a:rPr lang="en-US" sz="2400" b="1" baseline="0">
              <a:solidFill>
                <a:schemeClr val="accent4"/>
              </a:solidFill>
              <a:effectLst/>
              <a:latin typeface="+mn-lt"/>
              <a:ea typeface="+mn-ea"/>
              <a:cs typeface="+mn-cs"/>
            </a:rPr>
            <a:t>AMAC</a:t>
          </a:r>
          <a:r>
            <a:rPr lang="en-US" sz="2400" b="0" baseline="0">
              <a:solidFill>
                <a:schemeClr val="accent4"/>
              </a:solidFill>
              <a:effectLst/>
              <a:latin typeface="+mn-lt"/>
              <a:ea typeface="+mn-ea"/>
              <a:cs typeface="+mn-cs"/>
            </a:rPr>
            <a:t> (Abuja Municipal Area Council) LGA stands out as the absolute powerhouse of vote accumulation, leading the chart, followed by Bwari and Gwale.</a:t>
          </a:r>
          <a:endParaRPr lang="en-US" sz="2400">
            <a:solidFill>
              <a:schemeClr val="accent4"/>
            </a:solidFill>
            <a:effectLst/>
          </a:endParaRPr>
        </a:p>
      </xdr:txBody>
    </xdr:sp>
    <xdr:clientData/>
  </xdr:twoCellAnchor>
  <xdr:twoCellAnchor>
    <xdr:from>
      <xdr:col>9</xdr:col>
      <xdr:colOff>816429</xdr:colOff>
      <xdr:row>76</xdr:row>
      <xdr:rowOff>111448</xdr:rowOff>
    </xdr:from>
    <xdr:to>
      <xdr:col>16</xdr:col>
      <xdr:colOff>235858</xdr:colOff>
      <xdr:row>106</xdr:row>
      <xdr:rowOff>124408</xdr:rowOff>
    </xdr:to>
    <xdr:sp macro="" textlink="">
      <xdr:nvSpPr>
        <xdr:cNvPr id="20" name="Rectangle: Folded Corner 19">
          <a:extLst>
            <a:ext uri="{FF2B5EF4-FFF2-40B4-BE49-F238E27FC236}">
              <a16:creationId xmlns:a16="http://schemas.microsoft.com/office/drawing/2014/main" id="{618C8F88-E19E-55FA-936B-C798F7B4F0B6}"/>
            </a:ext>
          </a:extLst>
        </xdr:cNvPr>
        <xdr:cNvSpPr/>
      </xdr:nvSpPr>
      <xdr:spPr>
        <a:xfrm>
          <a:off x="11111205" y="13112101"/>
          <a:ext cx="4877837" cy="5144797"/>
        </a:xfrm>
        <a:prstGeom prst="foldedCorner">
          <a:avLst>
            <a:gd name="adj" fmla="val 1103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200" b="1">
              <a:solidFill>
                <a:schemeClr val="accent4"/>
              </a:solidFill>
              <a:effectLst/>
              <a:latin typeface="+mn-lt"/>
              <a:ea typeface="+mn-ea"/>
              <a:cs typeface="+mn-cs"/>
            </a:rPr>
            <a:t>Strategic Takeaway: </a:t>
          </a:r>
          <a:endParaRPr lang="en-US" sz="2400" b="1">
            <a:solidFill>
              <a:schemeClr val="accent4"/>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2400" b="1">
            <a:solidFill>
              <a:schemeClr val="accent4"/>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2400" b="0">
              <a:solidFill>
                <a:schemeClr val="accent4"/>
              </a:solidFill>
              <a:effectLst/>
              <a:latin typeface="+mn-lt"/>
              <a:ea typeface="+mn-ea"/>
              <a:cs typeface="+mn-cs"/>
            </a:rPr>
            <a:t>These leaderboards highlight where operational efficiency and voter density are at their peak. For political strategists or electoral observers, these high-performing clusters are the areas requiring the highest logistical support and security presence due to the sheer volume of ballots processed.</a:t>
          </a:r>
          <a:endParaRPr lang="en-US" sz="2400">
            <a:solidFill>
              <a:schemeClr val="accent4"/>
            </a:solidFill>
          </a:endParaRPr>
        </a:p>
      </xdr:txBody>
    </xdr:sp>
    <xdr:clientData/>
  </xdr:twoCellAnchor>
  <xdr:twoCellAnchor>
    <xdr:from>
      <xdr:col>0</xdr:col>
      <xdr:colOff>0</xdr:colOff>
      <xdr:row>75</xdr:row>
      <xdr:rowOff>121627</xdr:rowOff>
    </xdr:from>
    <xdr:to>
      <xdr:col>8</xdr:col>
      <xdr:colOff>746449</xdr:colOff>
      <xdr:row>79</xdr:row>
      <xdr:rowOff>68792</xdr:rowOff>
    </xdr:to>
    <xdr:sp macro="" textlink="">
      <xdr:nvSpPr>
        <xdr:cNvPr id="21" name="TextBox 20">
          <a:extLst>
            <a:ext uri="{FF2B5EF4-FFF2-40B4-BE49-F238E27FC236}">
              <a16:creationId xmlns:a16="http://schemas.microsoft.com/office/drawing/2014/main" id="{8E59CEF6-0DB1-0648-55EF-25795705AB7E}"/>
            </a:ext>
          </a:extLst>
        </xdr:cNvPr>
        <xdr:cNvSpPr txBox="1"/>
      </xdr:nvSpPr>
      <xdr:spPr>
        <a:xfrm>
          <a:off x="0" y="12951219"/>
          <a:ext cx="9906000" cy="631410"/>
        </a:xfrm>
        <a:prstGeom prst="rect">
          <a:avLst/>
        </a:prstGeom>
        <a:no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2">
                  <a:lumMod val="50000"/>
                </a:schemeClr>
              </a:solidFill>
            </a:rPr>
            <a:t>High-Performance Clusters (Reflecting Top LGAs &amp; Top Wards)</a:t>
          </a:r>
          <a:endParaRPr lang="en-NG" sz="2400" b="1">
            <a:solidFill>
              <a:schemeClr val="bg2">
                <a:lumMod val="50000"/>
              </a:schemeClr>
            </a:solidFill>
          </a:endParaRPr>
        </a:p>
      </xdr:txBody>
    </xdr:sp>
    <xdr:clientData/>
  </xdr:twoCellAnchor>
  <xdr:twoCellAnchor>
    <xdr:from>
      <xdr:col>5</xdr:col>
      <xdr:colOff>1233714</xdr:colOff>
      <xdr:row>102</xdr:row>
      <xdr:rowOff>49244</xdr:rowOff>
    </xdr:from>
    <xdr:to>
      <xdr:col>9</xdr:col>
      <xdr:colOff>489858</xdr:colOff>
      <xdr:row>120</xdr:row>
      <xdr:rowOff>12959</xdr:rowOff>
    </xdr:to>
    <xdr:sp macro="" textlink="">
      <xdr:nvSpPr>
        <xdr:cNvPr id="28" name="TextBox 27">
          <a:extLst>
            <a:ext uri="{FF2B5EF4-FFF2-40B4-BE49-F238E27FC236}">
              <a16:creationId xmlns:a16="http://schemas.microsoft.com/office/drawing/2014/main" id="{304B015E-EBF7-1A36-CDB6-00900FB904E7}"/>
            </a:ext>
          </a:extLst>
        </xdr:cNvPr>
        <xdr:cNvSpPr txBox="1"/>
      </xdr:nvSpPr>
      <xdr:spPr>
        <a:xfrm>
          <a:off x="4997061" y="17497489"/>
          <a:ext cx="5787573" cy="3042817"/>
        </a:xfrm>
        <a:prstGeom prst="rect">
          <a:avLst/>
        </a:prstGeom>
        <a:solidFill>
          <a:schemeClr val="lt1"/>
        </a:solidFill>
        <a:ln w="9525" cmpd="sng">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eaLnBrk="1" fontAlgn="auto" latinLnBrk="0" hangingPunct="1"/>
          <a:r>
            <a:rPr lang="en-US" sz="3200" b="1">
              <a:solidFill>
                <a:schemeClr val="accent4"/>
              </a:solidFill>
              <a:effectLst/>
              <a:latin typeface="+mn-lt"/>
              <a:ea typeface="+mn-ea"/>
              <a:cs typeface="+mn-cs"/>
            </a:rPr>
            <a:t>Ward-Level Engagement:</a:t>
          </a:r>
          <a:r>
            <a:rPr lang="en-US" sz="3200" b="0" baseline="0">
              <a:solidFill>
                <a:schemeClr val="accent4"/>
              </a:solidFill>
              <a:effectLst/>
              <a:latin typeface="+mn-lt"/>
              <a:ea typeface="+mn-ea"/>
              <a:cs typeface="+mn-cs"/>
            </a:rPr>
            <a:t> </a:t>
          </a:r>
        </a:p>
        <a:p>
          <a:pPr algn="l" eaLnBrk="1" fontAlgn="auto" latinLnBrk="0" hangingPunct="1"/>
          <a:endParaRPr lang="en-US" sz="2400" b="0" baseline="0">
            <a:solidFill>
              <a:schemeClr val="accent4"/>
            </a:solidFill>
            <a:effectLst/>
            <a:latin typeface="+mn-lt"/>
            <a:ea typeface="+mn-ea"/>
            <a:cs typeface="+mn-cs"/>
          </a:endParaRPr>
        </a:p>
        <a:p>
          <a:pPr algn="l" eaLnBrk="1" fontAlgn="auto" latinLnBrk="0" hangingPunct="1"/>
          <a:r>
            <a:rPr lang="en-US" sz="2400" b="0" baseline="0">
              <a:solidFill>
                <a:schemeClr val="accent4"/>
              </a:solidFill>
              <a:effectLst/>
              <a:latin typeface="+mn-lt"/>
              <a:ea typeface="+mn-ea"/>
              <a:cs typeface="+mn-cs"/>
            </a:rPr>
            <a:t>At the most granular level, </a:t>
          </a:r>
          <a:r>
            <a:rPr lang="en-US" sz="2400" b="1" baseline="0">
              <a:solidFill>
                <a:schemeClr val="accent4"/>
              </a:solidFill>
              <a:effectLst/>
              <a:latin typeface="+mn-lt"/>
              <a:ea typeface="+mn-ea"/>
              <a:cs typeface="+mn-cs"/>
            </a:rPr>
            <a:t>Ward DP </a:t>
          </a:r>
          <a:r>
            <a:rPr lang="en-US" sz="2400" b="0" baseline="0">
              <a:solidFill>
                <a:schemeClr val="accent4"/>
              </a:solidFill>
              <a:effectLst/>
              <a:latin typeface="+mn-lt"/>
              <a:ea typeface="+mn-ea"/>
              <a:cs typeface="+mn-cs"/>
            </a:rPr>
            <a:t>and </a:t>
          </a:r>
          <a:r>
            <a:rPr lang="en-US" sz="2400" b="1" baseline="0">
              <a:solidFill>
                <a:schemeClr val="accent4"/>
              </a:solidFill>
              <a:effectLst/>
              <a:latin typeface="+mn-lt"/>
              <a:ea typeface="+mn-ea"/>
              <a:cs typeface="+mn-cs"/>
            </a:rPr>
            <a:t>Ward DO </a:t>
          </a:r>
          <a:r>
            <a:rPr lang="en-US" sz="2400" b="0" baseline="0">
              <a:solidFill>
                <a:schemeClr val="accent4"/>
              </a:solidFill>
              <a:effectLst/>
              <a:latin typeface="+mn-lt"/>
              <a:ea typeface="+mn-ea"/>
              <a:cs typeface="+mn-cs"/>
            </a:rPr>
            <a:t>are outpacing all other wards in sheer vote volume.</a:t>
          </a:r>
          <a:endParaRPr lang="en-US" sz="2400">
            <a:solidFill>
              <a:schemeClr val="accent4"/>
            </a:solidFill>
            <a:effectLst/>
          </a:endParaRPr>
        </a:p>
      </xdr:txBody>
    </xdr:sp>
    <xdr:clientData/>
  </xdr:twoCellAnchor>
  <xdr:twoCellAnchor>
    <xdr:from>
      <xdr:col>0</xdr:col>
      <xdr:colOff>67836</xdr:colOff>
      <xdr:row>80</xdr:row>
      <xdr:rowOff>9208</xdr:rowOff>
    </xdr:from>
    <xdr:to>
      <xdr:col>5</xdr:col>
      <xdr:colOff>1057468</xdr:colOff>
      <xdr:row>98</xdr:row>
      <xdr:rowOff>46654</xdr:rowOff>
    </xdr:to>
    <xdr:graphicFrame macro="">
      <xdr:nvGraphicFramePr>
        <xdr:cNvPr id="33" name="Chart 32">
          <a:extLst>
            <a:ext uri="{FF2B5EF4-FFF2-40B4-BE49-F238E27FC236}">
              <a16:creationId xmlns:a16="http://schemas.microsoft.com/office/drawing/2014/main" id="{2FB724C0-B118-DA38-5FDA-74ED8F3C1C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91241</xdr:rowOff>
    </xdr:from>
    <xdr:to>
      <xdr:col>5</xdr:col>
      <xdr:colOff>1092834</xdr:colOff>
      <xdr:row>119</xdr:row>
      <xdr:rowOff>108856</xdr:rowOff>
    </xdr:to>
    <xdr:graphicFrame macro="">
      <xdr:nvGraphicFramePr>
        <xdr:cNvPr id="39" name="Chart 38">
          <a:extLst>
            <a:ext uri="{FF2B5EF4-FFF2-40B4-BE49-F238E27FC236}">
              <a16:creationId xmlns:a16="http://schemas.microsoft.com/office/drawing/2014/main" id="{CEB69825-41D1-77CB-1B2E-3AC4809F57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1612900</xdr:colOff>
      <xdr:row>1</xdr:row>
      <xdr:rowOff>0</xdr:rowOff>
    </xdr:from>
    <xdr:to>
      <xdr:col>9</xdr:col>
      <xdr:colOff>393700</xdr:colOff>
      <xdr:row>3</xdr:row>
      <xdr:rowOff>88900</xdr:rowOff>
    </xdr:to>
    <xdr:sp macro="" textlink="">
      <xdr:nvSpPr>
        <xdr:cNvPr id="12" name="TextBox 11">
          <a:hlinkClick xmlns:r="http://schemas.openxmlformats.org/officeDocument/2006/relationships" r:id="rId6"/>
          <a:extLst>
            <a:ext uri="{FF2B5EF4-FFF2-40B4-BE49-F238E27FC236}">
              <a16:creationId xmlns:a16="http://schemas.microsoft.com/office/drawing/2014/main" id="{B8BA43C6-AD50-4D91-8035-C2ACA07D5B4D}"/>
            </a:ext>
          </a:extLst>
        </xdr:cNvPr>
        <xdr:cNvSpPr txBox="1"/>
      </xdr:nvSpPr>
      <xdr:spPr>
        <a:xfrm>
          <a:off x="8394700" y="165100"/>
          <a:ext cx="2298700" cy="419100"/>
        </a:xfrm>
        <a:prstGeom prst="roundRect">
          <a:avLst>
            <a:gd name="adj" fmla="val 50000"/>
          </a:avLst>
        </a:prstGeom>
        <a:solidFill>
          <a:schemeClr val="accent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Back To Dashboard</a:t>
          </a:r>
          <a:endParaRPr lang="en-NG" sz="1600" b="1">
            <a:solidFill>
              <a:schemeClr val="bg1"/>
            </a:solidFill>
          </a:endParaRPr>
        </a:p>
      </xdr:txBody>
    </xdr:sp>
    <xdr:clientData/>
  </xdr:twoCellAnchor>
  <xdr:twoCellAnchor>
    <xdr:from>
      <xdr:col>0</xdr:col>
      <xdr:colOff>0</xdr:colOff>
      <xdr:row>121</xdr:row>
      <xdr:rowOff>80929</xdr:rowOff>
    </xdr:from>
    <xdr:to>
      <xdr:col>16</xdr:col>
      <xdr:colOff>609599</xdr:colOff>
      <xdr:row>123</xdr:row>
      <xdr:rowOff>39708</xdr:rowOff>
    </xdr:to>
    <xdr:sp macro="" textlink="">
      <xdr:nvSpPr>
        <xdr:cNvPr id="13" name="Rectangle 12">
          <a:extLst>
            <a:ext uri="{FF2B5EF4-FFF2-40B4-BE49-F238E27FC236}">
              <a16:creationId xmlns:a16="http://schemas.microsoft.com/office/drawing/2014/main" id="{AED74D98-8733-D4BD-D9ED-B256AE959BFC}"/>
            </a:ext>
          </a:extLst>
        </xdr:cNvPr>
        <xdr:cNvSpPr/>
      </xdr:nvSpPr>
      <xdr:spPr>
        <a:xfrm rot="16200000">
          <a:off x="8053360" y="12004669"/>
          <a:ext cx="288979" cy="16395699"/>
        </a:xfrm>
        <a:prstGeom prst="rect">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7620</xdr:rowOff>
    </xdr:from>
    <xdr:to>
      <xdr:col>26</xdr:col>
      <xdr:colOff>562462</xdr:colOff>
      <xdr:row>3</xdr:row>
      <xdr:rowOff>146907</xdr:rowOff>
    </xdr:to>
    <xdr:sp macro="" textlink="">
      <xdr:nvSpPr>
        <xdr:cNvPr id="11" name="Rectangle 10">
          <a:extLst>
            <a:ext uri="{FF2B5EF4-FFF2-40B4-BE49-F238E27FC236}">
              <a16:creationId xmlns:a16="http://schemas.microsoft.com/office/drawing/2014/main" id="{21DE6556-D006-48CC-AA86-EA17A2AF3ACD}"/>
            </a:ext>
          </a:extLst>
        </xdr:cNvPr>
        <xdr:cNvSpPr/>
      </xdr:nvSpPr>
      <xdr:spPr>
        <a:xfrm>
          <a:off x="0" y="7620"/>
          <a:ext cx="16412062" cy="642207"/>
        </a:xfrm>
        <a:prstGeom prst="rect">
          <a:avLst/>
        </a:prstGeom>
        <a:solidFill>
          <a:schemeClr val="bg2">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237992</xdr:colOff>
      <xdr:row>0</xdr:row>
      <xdr:rowOff>0</xdr:rowOff>
    </xdr:from>
    <xdr:to>
      <xdr:col>2</xdr:col>
      <xdr:colOff>125464</xdr:colOff>
      <xdr:row>3</xdr:row>
      <xdr:rowOff>136021</xdr:rowOff>
    </xdr:to>
    <xdr:pic>
      <xdr:nvPicPr>
        <xdr:cNvPr id="12" name="Picture 11">
          <a:extLst>
            <a:ext uri="{FF2B5EF4-FFF2-40B4-BE49-F238E27FC236}">
              <a16:creationId xmlns:a16="http://schemas.microsoft.com/office/drawing/2014/main" id="{45D0C166-10D1-45E1-B42D-424D5C6FAEA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234" r="25155"/>
        <a:stretch>
          <a:fillRect/>
        </a:stretch>
      </xdr:blipFill>
      <xdr:spPr>
        <a:xfrm>
          <a:off x="847592" y="0"/>
          <a:ext cx="497072" cy="638941"/>
        </a:xfrm>
        <a:prstGeom prst="rect">
          <a:avLst/>
        </a:prstGeom>
      </xdr:spPr>
    </xdr:pic>
    <xdr:clientData/>
  </xdr:twoCellAnchor>
  <xdr:twoCellAnchor>
    <xdr:from>
      <xdr:col>2</xdr:col>
      <xdr:colOff>117844</xdr:colOff>
      <xdr:row>0</xdr:row>
      <xdr:rowOff>68580</xdr:rowOff>
    </xdr:from>
    <xdr:to>
      <xdr:col>9</xdr:col>
      <xdr:colOff>359380</xdr:colOff>
      <xdr:row>2</xdr:row>
      <xdr:rowOff>69998</xdr:rowOff>
    </xdr:to>
    <xdr:sp macro="" textlink="">
      <xdr:nvSpPr>
        <xdr:cNvPr id="13" name="TextBox 12">
          <a:extLst>
            <a:ext uri="{FF2B5EF4-FFF2-40B4-BE49-F238E27FC236}">
              <a16:creationId xmlns:a16="http://schemas.microsoft.com/office/drawing/2014/main" id="{2147C3AF-6ACA-4857-9133-37AA781B18D2}"/>
            </a:ext>
          </a:extLst>
        </xdr:cNvPr>
        <xdr:cNvSpPr txBox="1"/>
      </xdr:nvSpPr>
      <xdr:spPr>
        <a:xfrm>
          <a:off x="1337044" y="68580"/>
          <a:ext cx="4508736" cy="336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800" b="1">
              <a:solidFill>
                <a:schemeClr val="bg2">
                  <a:lumMod val="65000"/>
                </a:schemeClr>
              </a:solidFill>
            </a:rPr>
            <a:t>INDEPENDENT</a:t>
          </a:r>
          <a:endParaRPr lang="en-NG" sz="2800" b="1">
            <a:solidFill>
              <a:schemeClr val="bg2">
                <a:lumMod val="65000"/>
              </a:schemeClr>
            </a:solidFill>
          </a:endParaRPr>
        </a:p>
      </xdr:txBody>
    </xdr:sp>
    <xdr:clientData/>
  </xdr:twoCellAnchor>
  <xdr:twoCellAnchor>
    <xdr:from>
      <xdr:col>2</xdr:col>
      <xdr:colOff>125464</xdr:colOff>
      <xdr:row>1</xdr:row>
      <xdr:rowOff>153109</xdr:rowOff>
    </xdr:from>
    <xdr:to>
      <xdr:col>11</xdr:col>
      <xdr:colOff>142476</xdr:colOff>
      <xdr:row>3</xdr:row>
      <xdr:rowOff>154527</xdr:rowOff>
    </xdr:to>
    <xdr:sp macro="" textlink="">
      <xdr:nvSpPr>
        <xdr:cNvPr id="14" name="TextBox 13">
          <a:extLst>
            <a:ext uri="{FF2B5EF4-FFF2-40B4-BE49-F238E27FC236}">
              <a16:creationId xmlns:a16="http://schemas.microsoft.com/office/drawing/2014/main" id="{112BE953-ECA0-4327-90C0-415A3D6E97FB}"/>
            </a:ext>
          </a:extLst>
        </xdr:cNvPr>
        <xdr:cNvSpPr txBox="1"/>
      </xdr:nvSpPr>
      <xdr:spPr>
        <a:xfrm>
          <a:off x="1344664" y="320749"/>
          <a:ext cx="5503412" cy="336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500">
              <a:solidFill>
                <a:srgbClr val="00B050"/>
              </a:solidFill>
            </a:rPr>
            <a:t>National Electoral</a:t>
          </a:r>
          <a:r>
            <a:rPr lang="en-US" sz="1500" baseline="0">
              <a:solidFill>
                <a:srgbClr val="00B050"/>
              </a:solidFill>
            </a:rPr>
            <a:t> Commission</a:t>
          </a:r>
          <a:endParaRPr lang="en-NG" sz="1500">
            <a:solidFill>
              <a:srgbClr val="00B050"/>
            </a:solidFill>
          </a:endParaRPr>
        </a:p>
      </xdr:txBody>
    </xdr:sp>
    <xdr:clientData/>
  </xdr:twoCellAnchor>
  <xdr:twoCellAnchor>
    <xdr:from>
      <xdr:col>18</xdr:col>
      <xdr:colOff>211366</xdr:colOff>
      <xdr:row>0</xdr:row>
      <xdr:rowOff>154305</xdr:rowOff>
    </xdr:from>
    <xdr:to>
      <xdr:col>19</xdr:col>
      <xdr:colOff>574669</xdr:colOff>
      <xdr:row>2</xdr:row>
      <xdr:rowOff>159187</xdr:rowOff>
    </xdr:to>
    <xdr:sp macro="" textlink="">
      <xdr:nvSpPr>
        <xdr:cNvPr id="15" name="TextBox 14">
          <a:hlinkClick xmlns:r="http://schemas.openxmlformats.org/officeDocument/2006/relationships" r:id="rId2"/>
          <a:extLst>
            <a:ext uri="{FF2B5EF4-FFF2-40B4-BE49-F238E27FC236}">
              <a16:creationId xmlns:a16="http://schemas.microsoft.com/office/drawing/2014/main" id="{CAA8C399-C597-47A3-95F2-78C519C273BA}"/>
            </a:ext>
          </a:extLst>
        </xdr:cNvPr>
        <xdr:cNvSpPr txBox="1"/>
      </xdr:nvSpPr>
      <xdr:spPr>
        <a:xfrm>
          <a:off x="11184166" y="154305"/>
          <a:ext cx="972903" cy="340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600" b="1">
              <a:solidFill>
                <a:srgbClr val="00B050"/>
              </a:solidFill>
            </a:rPr>
            <a:t>Home</a:t>
          </a:r>
          <a:endParaRPr lang="en-NG" sz="1600" b="1">
            <a:solidFill>
              <a:srgbClr val="00B050"/>
            </a:solidFill>
          </a:endParaRPr>
        </a:p>
      </xdr:txBody>
    </xdr:sp>
    <xdr:clientData/>
  </xdr:twoCellAnchor>
  <xdr:twoCellAnchor>
    <xdr:from>
      <xdr:col>21</xdr:col>
      <xdr:colOff>169273</xdr:colOff>
      <xdr:row>0</xdr:row>
      <xdr:rowOff>154305</xdr:rowOff>
    </xdr:from>
    <xdr:to>
      <xdr:col>22</xdr:col>
      <xdr:colOff>546735</xdr:colOff>
      <xdr:row>2</xdr:row>
      <xdr:rowOff>159187</xdr:rowOff>
    </xdr:to>
    <xdr:sp macro="" textlink="">
      <xdr:nvSpPr>
        <xdr:cNvPr id="16" name="TextBox 15">
          <a:hlinkClick xmlns:r="http://schemas.openxmlformats.org/officeDocument/2006/relationships" r:id="rId3"/>
          <a:extLst>
            <a:ext uri="{FF2B5EF4-FFF2-40B4-BE49-F238E27FC236}">
              <a16:creationId xmlns:a16="http://schemas.microsoft.com/office/drawing/2014/main" id="{3ABF30BE-4763-4FEB-9AC2-4879E7E03F8D}"/>
            </a:ext>
          </a:extLst>
        </xdr:cNvPr>
        <xdr:cNvSpPr txBox="1"/>
      </xdr:nvSpPr>
      <xdr:spPr>
        <a:xfrm>
          <a:off x="12970873" y="154305"/>
          <a:ext cx="987062" cy="340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B050"/>
              </a:solidFill>
            </a:rPr>
            <a:t>Insights</a:t>
          </a:r>
          <a:endParaRPr lang="en-NG" sz="1600" b="1">
            <a:solidFill>
              <a:srgbClr val="00B050"/>
            </a:solidFill>
          </a:endParaRPr>
        </a:p>
      </xdr:txBody>
    </xdr:sp>
    <xdr:clientData/>
  </xdr:twoCellAnchor>
  <xdr:twoCellAnchor>
    <xdr:from>
      <xdr:col>24</xdr:col>
      <xdr:colOff>121250</xdr:colOff>
      <xdr:row>0</xdr:row>
      <xdr:rowOff>154305</xdr:rowOff>
    </xdr:from>
    <xdr:to>
      <xdr:col>26</xdr:col>
      <xdr:colOff>236092</xdr:colOff>
      <xdr:row>2</xdr:row>
      <xdr:rowOff>159187</xdr:rowOff>
    </xdr:to>
    <xdr:sp macro="" textlink="">
      <xdr:nvSpPr>
        <xdr:cNvPr id="17" name="TextBox 16">
          <a:extLst>
            <a:ext uri="{FF2B5EF4-FFF2-40B4-BE49-F238E27FC236}">
              <a16:creationId xmlns:a16="http://schemas.microsoft.com/office/drawing/2014/main" id="{74A7E486-52F5-4C81-A7A1-7F333440F7F8}"/>
            </a:ext>
          </a:extLst>
        </xdr:cNvPr>
        <xdr:cNvSpPr txBox="1"/>
      </xdr:nvSpPr>
      <xdr:spPr>
        <a:xfrm>
          <a:off x="14751650" y="154305"/>
          <a:ext cx="1334042" cy="340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2">
                  <a:lumMod val="50000"/>
                </a:schemeClr>
              </a:solidFill>
            </a:rPr>
            <a:t>Contact Us</a:t>
          </a:r>
          <a:endParaRPr lang="en-NG" sz="1600" b="1">
            <a:solidFill>
              <a:schemeClr val="bg2">
                <a:lumMod val="50000"/>
              </a:schemeClr>
            </a:solidFill>
          </a:endParaRPr>
        </a:p>
      </xdr:txBody>
    </xdr:sp>
    <xdr:clientData/>
  </xdr:twoCellAnchor>
  <xdr:twoCellAnchor editAs="oneCell">
    <xdr:from>
      <xdr:col>18</xdr:col>
      <xdr:colOff>249466</xdr:colOff>
      <xdr:row>1</xdr:row>
      <xdr:rowOff>33209</xdr:rowOff>
    </xdr:from>
    <xdr:to>
      <xdr:col>18</xdr:col>
      <xdr:colOff>478069</xdr:colOff>
      <xdr:row>2</xdr:row>
      <xdr:rowOff>91071</xdr:rowOff>
    </xdr:to>
    <xdr:pic>
      <xdr:nvPicPr>
        <xdr:cNvPr id="18" name="Picture 17">
          <a:extLst>
            <a:ext uri="{FF2B5EF4-FFF2-40B4-BE49-F238E27FC236}">
              <a16:creationId xmlns:a16="http://schemas.microsoft.com/office/drawing/2014/main" id="{67F4C44C-B392-40EC-87AD-0B6A7A0E4660}"/>
            </a:ext>
          </a:extLst>
        </xdr:cNvPr>
        <xdr:cNvPicPr>
          <a:picLocks noChangeAspect="1"/>
        </xdr:cNvPicPr>
      </xdr:nvPicPr>
      <xdr:blipFill>
        <a:blip xmlns:r="http://schemas.openxmlformats.org/officeDocument/2006/relationships" r:embed="rId4"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1222266" y="200849"/>
          <a:ext cx="228603" cy="225502"/>
        </a:xfrm>
        <a:prstGeom prst="rect">
          <a:avLst/>
        </a:prstGeom>
      </xdr:spPr>
    </xdr:pic>
    <xdr:clientData/>
  </xdr:twoCellAnchor>
  <xdr:twoCellAnchor editAs="oneCell">
    <xdr:from>
      <xdr:col>23</xdr:col>
      <xdr:colOff>587406</xdr:colOff>
      <xdr:row>1</xdr:row>
      <xdr:rowOff>37250</xdr:rowOff>
    </xdr:from>
    <xdr:to>
      <xdr:col>24</xdr:col>
      <xdr:colOff>166622</xdr:colOff>
      <xdr:row>2</xdr:row>
      <xdr:rowOff>96841</xdr:rowOff>
    </xdr:to>
    <xdr:pic>
      <xdr:nvPicPr>
        <xdr:cNvPr id="19" name="Picture 18">
          <a:extLst>
            <a:ext uri="{FF2B5EF4-FFF2-40B4-BE49-F238E27FC236}">
              <a16:creationId xmlns:a16="http://schemas.microsoft.com/office/drawing/2014/main" id="{61AC509B-0CEC-4DEB-9389-4E323D06B4C7}"/>
            </a:ext>
          </a:extLst>
        </xdr:cNvPr>
        <xdr:cNvPicPr>
          <a:picLocks noChangeAspect="1"/>
        </xdr:cNvPicPr>
      </xdr:nvPicPr>
      <xdr:blipFill>
        <a:blip xmlns:r="http://schemas.openxmlformats.org/officeDocument/2006/relationships" r:embed="rId5" cstate="print">
          <a:grayscl/>
          <a:extLst>
            <a:ext uri="{28A0092B-C50C-407E-A947-70E740481C1C}">
              <a14:useLocalDpi xmlns:a14="http://schemas.microsoft.com/office/drawing/2010/main" val="0"/>
            </a:ext>
          </a:extLst>
        </a:blip>
        <a:stretch>
          <a:fillRect/>
        </a:stretch>
      </xdr:blipFill>
      <xdr:spPr>
        <a:xfrm>
          <a:off x="14608206" y="204890"/>
          <a:ext cx="188816" cy="227231"/>
        </a:xfrm>
        <a:prstGeom prst="rect">
          <a:avLst/>
        </a:prstGeom>
      </xdr:spPr>
    </xdr:pic>
    <xdr:clientData/>
  </xdr:twoCellAnchor>
  <xdr:twoCellAnchor editAs="oneCell">
    <xdr:from>
      <xdr:col>20</xdr:col>
      <xdr:colOff>607539</xdr:colOff>
      <xdr:row>0</xdr:row>
      <xdr:rowOff>154307</xdr:rowOff>
    </xdr:from>
    <xdr:to>
      <xdr:col>21</xdr:col>
      <xdr:colOff>275029</xdr:colOff>
      <xdr:row>2</xdr:row>
      <xdr:rowOff>89915</xdr:rowOff>
    </xdr:to>
    <xdr:pic>
      <xdr:nvPicPr>
        <xdr:cNvPr id="20" name="Picture 19">
          <a:extLst>
            <a:ext uri="{FF2B5EF4-FFF2-40B4-BE49-F238E27FC236}">
              <a16:creationId xmlns:a16="http://schemas.microsoft.com/office/drawing/2014/main" id="{D1FD725E-948A-4D38-98A6-894E9BB9D34B}"/>
            </a:ext>
          </a:extLst>
        </xdr:cNvPr>
        <xdr:cNvPicPr>
          <a:picLocks noChangeAspect="1"/>
        </xdr:cNvPicPr>
      </xdr:nvPicPr>
      <xdr:blipFill>
        <a:blip xmlns:r="http://schemas.openxmlformats.org/officeDocument/2006/relationships" r:embed="rId6" cstate="print">
          <a:duotone>
            <a:prstClr val="black"/>
            <a:schemeClr val="accent4">
              <a:tint val="45000"/>
              <a:satMod val="400000"/>
            </a:schemeClr>
          </a:duotone>
          <a:extLst>
            <a:ext uri="{28A0092B-C50C-407E-A947-70E740481C1C}">
              <a14:useLocalDpi xmlns:a14="http://schemas.microsoft.com/office/drawing/2010/main" val="0"/>
            </a:ext>
          </a:extLst>
        </a:blip>
        <a:stretch>
          <a:fillRect/>
        </a:stretch>
      </xdr:blipFill>
      <xdr:spPr>
        <a:xfrm>
          <a:off x="12799539" y="154307"/>
          <a:ext cx="277090" cy="2708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30480</xdr:colOff>
      <xdr:row>1</xdr:row>
      <xdr:rowOff>53340</xdr:rowOff>
    </xdr:from>
    <xdr:to>
      <xdr:col>16</xdr:col>
      <xdr:colOff>576580</xdr:colOff>
      <xdr:row>3</xdr:row>
      <xdr:rowOff>137160</xdr:rowOff>
    </xdr:to>
    <xdr:sp macro="" textlink="">
      <xdr:nvSpPr>
        <xdr:cNvPr id="2" name="TextBox 1">
          <a:hlinkClick xmlns:r="http://schemas.openxmlformats.org/officeDocument/2006/relationships" r:id="rId1"/>
          <a:extLst>
            <a:ext uri="{FF2B5EF4-FFF2-40B4-BE49-F238E27FC236}">
              <a16:creationId xmlns:a16="http://schemas.microsoft.com/office/drawing/2014/main" id="{9689AE6D-0801-46FA-9424-D1AD099F2DC2}"/>
            </a:ext>
          </a:extLst>
        </xdr:cNvPr>
        <xdr:cNvSpPr txBox="1"/>
      </xdr:nvSpPr>
      <xdr:spPr>
        <a:xfrm>
          <a:off x="12725400" y="220980"/>
          <a:ext cx="2298700" cy="419100"/>
        </a:xfrm>
        <a:prstGeom prst="roundRect">
          <a:avLst>
            <a:gd name="adj" fmla="val 50000"/>
          </a:avLst>
        </a:prstGeom>
        <a:solidFill>
          <a:schemeClr val="accent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Back To Dashboard</a:t>
          </a:r>
          <a:endParaRPr lang="en-NG" sz="14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7620</xdr:rowOff>
    </xdr:from>
    <xdr:to>
      <xdr:col>20</xdr:col>
      <xdr:colOff>15240</xdr:colOff>
      <xdr:row>3</xdr:row>
      <xdr:rowOff>137160</xdr:rowOff>
    </xdr:to>
    <xdr:sp macro="" textlink="">
      <xdr:nvSpPr>
        <xdr:cNvPr id="2" name="Rectangle 1">
          <a:extLst>
            <a:ext uri="{FF2B5EF4-FFF2-40B4-BE49-F238E27FC236}">
              <a16:creationId xmlns:a16="http://schemas.microsoft.com/office/drawing/2014/main" id="{ED30C3A9-BE63-4EA2-969A-359ECEDBAE31}"/>
            </a:ext>
          </a:extLst>
        </xdr:cNvPr>
        <xdr:cNvSpPr/>
      </xdr:nvSpPr>
      <xdr:spPr>
        <a:xfrm>
          <a:off x="0" y="7620"/>
          <a:ext cx="17259300" cy="632460"/>
        </a:xfrm>
        <a:prstGeom prst="rect">
          <a:avLst/>
        </a:prstGeom>
        <a:solidFill>
          <a:schemeClr val="bg2">
            <a:lumMod val="9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xdr:col>
      <xdr:colOff>228600</xdr:colOff>
      <xdr:row>0</xdr:row>
      <xdr:rowOff>0</xdr:rowOff>
    </xdr:from>
    <xdr:to>
      <xdr:col>1</xdr:col>
      <xdr:colOff>723900</xdr:colOff>
      <xdr:row>3</xdr:row>
      <xdr:rowOff>126274</xdr:rowOff>
    </xdr:to>
    <xdr:pic>
      <xdr:nvPicPr>
        <xdr:cNvPr id="3" name="Picture 2">
          <a:extLst>
            <a:ext uri="{FF2B5EF4-FFF2-40B4-BE49-F238E27FC236}">
              <a16:creationId xmlns:a16="http://schemas.microsoft.com/office/drawing/2014/main" id="{27FAF957-1D37-4184-9EA0-060C300123D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234" r="25155"/>
        <a:stretch>
          <a:fillRect/>
        </a:stretch>
      </xdr:blipFill>
      <xdr:spPr>
        <a:xfrm>
          <a:off x="845820" y="0"/>
          <a:ext cx="495300" cy="629194"/>
        </a:xfrm>
        <a:prstGeom prst="rect">
          <a:avLst/>
        </a:prstGeom>
      </xdr:spPr>
    </xdr:pic>
    <xdr:clientData/>
  </xdr:twoCellAnchor>
  <xdr:twoCellAnchor>
    <xdr:from>
      <xdr:col>1</xdr:col>
      <xdr:colOff>716280</xdr:colOff>
      <xdr:row>0</xdr:row>
      <xdr:rowOff>68580</xdr:rowOff>
    </xdr:from>
    <xdr:to>
      <xdr:col>4</xdr:col>
      <xdr:colOff>1158240</xdr:colOff>
      <xdr:row>2</xdr:row>
      <xdr:rowOff>63500</xdr:rowOff>
    </xdr:to>
    <xdr:sp macro="" textlink="">
      <xdr:nvSpPr>
        <xdr:cNvPr id="4" name="TextBox 3">
          <a:extLst>
            <a:ext uri="{FF2B5EF4-FFF2-40B4-BE49-F238E27FC236}">
              <a16:creationId xmlns:a16="http://schemas.microsoft.com/office/drawing/2014/main" id="{A4255421-E20D-446B-852A-3866A5759F06}"/>
            </a:ext>
          </a:extLst>
        </xdr:cNvPr>
        <xdr:cNvSpPr txBox="1"/>
      </xdr:nvSpPr>
      <xdr:spPr>
        <a:xfrm>
          <a:off x="1333500" y="68580"/>
          <a:ext cx="450342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800" b="1">
              <a:solidFill>
                <a:schemeClr val="bg2">
                  <a:lumMod val="65000"/>
                </a:schemeClr>
              </a:solidFill>
            </a:rPr>
            <a:t>INDEPENDENT</a:t>
          </a:r>
          <a:endParaRPr lang="en-NG" sz="2800" b="1">
            <a:solidFill>
              <a:schemeClr val="bg2">
                <a:lumMod val="65000"/>
              </a:schemeClr>
            </a:solidFill>
          </a:endParaRPr>
        </a:p>
      </xdr:txBody>
    </xdr:sp>
    <xdr:clientData/>
  </xdr:twoCellAnchor>
  <xdr:twoCellAnchor>
    <xdr:from>
      <xdr:col>1</xdr:col>
      <xdr:colOff>723900</xdr:colOff>
      <xdr:row>1</xdr:row>
      <xdr:rowOff>149860</xdr:rowOff>
    </xdr:from>
    <xdr:to>
      <xdr:col>4</xdr:col>
      <xdr:colOff>2164080</xdr:colOff>
      <xdr:row>3</xdr:row>
      <xdr:rowOff>144780</xdr:rowOff>
    </xdr:to>
    <xdr:sp macro="" textlink="">
      <xdr:nvSpPr>
        <xdr:cNvPr id="5" name="TextBox 4">
          <a:extLst>
            <a:ext uri="{FF2B5EF4-FFF2-40B4-BE49-F238E27FC236}">
              <a16:creationId xmlns:a16="http://schemas.microsoft.com/office/drawing/2014/main" id="{0AF2460A-BC12-44EE-AF3F-CF9A1C918C4A}"/>
            </a:ext>
          </a:extLst>
        </xdr:cNvPr>
        <xdr:cNvSpPr txBox="1"/>
      </xdr:nvSpPr>
      <xdr:spPr>
        <a:xfrm>
          <a:off x="1341120" y="317500"/>
          <a:ext cx="550164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500">
              <a:solidFill>
                <a:srgbClr val="00B050"/>
              </a:solidFill>
            </a:rPr>
            <a:t>National Electoral</a:t>
          </a:r>
          <a:r>
            <a:rPr lang="en-US" sz="1500" baseline="0">
              <a:solidFill>
                <a:srgbClr val="00B050"/>
              </a:solidFill>
            </a:rPr>
            <a:t> Commission</a:t>
          </a:r>
          <a:endParaRPr lang="en-NG" sz="1500">
            <a:solidFill>
              <a:srgbClr val="00B050"/>
            </a:solidFill>
          </a:endParaRPr>
        </a:p>
      </xdr:txBody>
    </xdr:sp>
    <xdr:clientData/>
  </xdr:twoCellAnchor>
  <xdr:twoCellAnchor>
    <xdr:from>
      <xdr:col>3</xdr:col>
      <xdr:colOff>640080</xdr:colOff>
      <xdr:row>0</xdr:row>
      <xdr:rowOff>106680</xdr:rowOff>
    </xdr:from>
    <xdr:to>
      <xdr:col>13</xdr:col>
      <xdr:colOff>480060</xdr:colOff>
      <xdr:row>3</xdr:row>
      <xdr:rowOff>7620</xdr:rowOff>
    </xdr:to>
    <xdr:sp macro="" textlink="">
      <xdr:nvSpPr>
        <xdr:cNvPr id="6" name="TextBox 5">
          <a:extLst>
            <a:ext uri="{FF2B5EF4-FFF2-40B4-BE49-F238E27FC236}">
              <a16:creationId xmlns:a16="http://schemas.microsoft.com/office/drawing/2014/main" id="{A2D8FB6D-E226-0BAF-267C-25FB307790EE}"/>
            </a:ext>
          </a:extLst>
        </xdr:cNvPr>
        <xdr:cNvSpPr txBox="1"/>
      </xdr:nvSpPr>
      <xdr:spPr>
        <a:xfrm>
          <a:off x="3718560" y="106680"/>
          <a:ext cx="97383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NG" sz="2400" b="1" i="0" u="none" strike="noStrike">
              <a:solidFill>
                <a:srgbClr val="00B050"/>
              </a:solidFill>
              <a:effectLst/>
              <a:latin typeface="+mn-lt"/>
              <a:ea typeface="+mn-ea"/>
              <a:cs typeface="+mn-cs"/>
            </a:rPr>
            <a:t>🛠️ DATA CLEANING &amp; ETL DOCUMENTATION REPORT</a:t>
          </a:r>
          <a:r>
            <a:rPr lang="en-NG" sz="2400" b="1">
              <a:solidFill>
                <a:srgbClr val="00B050"/>
              </a:solidFill>
              <a:effectLst/>
            </a:rPr>
            <a:t> </a:t>
          </a:r>
          <a:endParaRPr lang="en-NG" sz="2400" b="1">
            <a:solidFill>
              <a:srgbClr val="00B050"/>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394328705" backgroundQuery="1" createdVersion="8" refreshedVersion="8" minRefreshableVersion="3" recordCount="0" supportSubquery="1" supportAdvancedDrill="1" xr:uid="{4DD2D103-82A2-4821-8C84-FA35B1863CB7}">
  <cacheSource type="external" connectionId="1"/>
  <cacheFields count="3">
    <cacheField name="[Measures].[Sum of TotalVotesCast]" caption="Sum of TotalVotesCast" numFmtId="0" hierarchy="16" level="32767"/>
    <cacheField name="[Table1].[LGA].[LGA]" caption="LGA" numFmtId="0" hierarchy="2" level="1">
      <sharedItems count="6">
        <s v="AMAC"/>
        <s v="Bwari"/>
        <s v="Eti-Osa"/>
        <s v="Fagge"/>
        <s v="Nassarawa"/>
        <s v="Obio/Akpor"/>
      </sharedItems>
    </cacheField>
    <cacheField name="[Table1].[State].[State]" caption="State" numFmtId="0" hierarchy="1"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2"/>
      </fieldsUsage>
    </cacheHierarchy>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394907406" backgroundQuery="1" createdVersion="8" refreshedVersion="8" minRefreshableVersion="3" recordCount="0" supportSubquery="1" supportAdvancedDrill="1" xr:uid="{A407C824-4265-4335-969C-C75ED6544942}">
  <cacheSource type="external" connectionId="1"/>
  <cacheFields count="4">
    <cacheField name="[Measures].[Sum of TotalVotesCast]" caption="Sum of TotalVotesCast" numFmtId="0" hierarchy="16" level="32767"/>
    <cacheField name="[Table1].[LGA].[LGA]" caption="LGA" numFmtId="0" hierarchy="2" level="1">
      <sharedItems count="5">
        <s v="AMAC"/>
        <s v="Bwari"/>
        <s v="Nassarawa"/>
        <s v="Obio/Akpor"/>
        <s v="Port Harcourt"/>
      </sharedItems>
    </cacheField>
    <cacheField name="[Table1].[Ward].[Ward]" caption="Ward" numFmtId="0" hierarchy="3" level="1">
      <sharedItems count="5">
        <s v="Ward DL"/>
        <s v="Ward DM"/>
        <s v="Ward DN"/>
        <s v="Ward DO"/>
        <s v="Ward DP"/>
      </sharedItems>
    </cacheField>
    <cacheField name="[Table1].[State].[State]" caption="State" numFmtId="0" hierarchy="1"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3"/>
      </fieldsUsage>
    </cacheHierarchy>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2" memberValueDatatype="130" unbalanced="0">
      <fieldsUsage count="2">
        <fieldUsage x="-1"/>
        <fieldUsage x="2"/>
      </fieldsUsage>
    </cacheHierarchy>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395486114" backgroundQuery="1" createdVersion="8" refreshedVersion="8" minRefreshableVersion="3" recordCount="0" supportSubquery="1" supportAdvancedDrill="1" xr:uid="{B8066747-7DDD-44C5-944B-0A577BC608FA}">
  <cacheSource type="external" connectionId="1"/>
  <cacheFields count="4">
    <cacheField name="[Measures].[Sum of PartyAVotes]" caption="Sum of PartyAVotes" numFmtId="0" hierarchy="18" level="32767"/>
    <cacheField name="[Measures].[Sum of PartyBVotes]" caption="Sum of PartyBVotes" numFmtId="0" hierarchy="17" level="32767"/>
    <cacheField name="[Measures].[Sum of PartyCVotes]" caption="Sum of PartyCVotes" numFmtId="0" hierarchy="19" level="32767"/>
    <cacheField name="[Table1].[State].[State]" caption="State" numFmtId="0" hierarchy="1"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3"/>
      </fieldsUsage>
    </cacheHierarchy>
    <cacheHierarchy uniqueName="[Table1].[LGA]" caption="LGA" attribute="1" defaultMemberUniqueName="[Table1].[LGA].[All]" allUniqueName="[Table1].[LGA].[All]" dimensionUniqueName="[Table1]" displayFolder="" count="0" memberValueDatatype="130" unbalanced="0"/>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395949076" backgroundQuery="1" createdVersion="8" refreshedVersion="8" minRefreshableVersion="3" recordCount="0" supportSubquery="1" supportAdvancedDrill="1" xr:uid="{0814ABE3-1CE8-4CF1-BDF7-EF23AE26F4BF}">
  <cacheSource type="external" connectionId="1"/>
  <cacheFields count="4">
    <cacheField name="[Measures].[Sum of PartyAVotes]" caption="Sum of PartyAVotes" numFmtId="0" hierarchy="18" level="32767"/>
    <cacheField name="[Measures].[Sum of PartyBVotes]" caption="Sum of PartyBVotes" numFmtId="0" hierarchy="17" level="32767"/>
    <cacheField name="[Measures].[Sum of PartyCVotes]" caption="Sum of PartyCVotes" numFmtId="0" hierarchy="19" level="32767"/>
    <cacheField name="[Table1].[State].[State]" caption="State" numFmtId="0" hierarchy="1"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3"/>
      </fieldsUsage>
    </cacheHierarchy>
    <cacheHierarchy uniqueName="[Table1].[LGA]" caption="LGA" attribute="1" defaultMemberUniqueName="[Table1].[LGA].[All]" allUniqueName="[Table1].[LGA].[All]" dimensionUniqueName="[Table1]" displayFolder="" count="0" memberValueDatatype="130" unbalanced="0"/>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396180553" backgroundQuery="1" createdVersion="8" refreshedVersion="8" minRefreshableVersion="3" recordCount="0" supportSubquery="1" supportAdvancedDrill="1" xr:uid="{9AF4EE45-7460-4A8D-9921-9A0D84500957}">
  <cacheSource type="external" connectionId="1"/>
  <cacheFields count="2">
    <cacheField name="[Measures].[Distinct Count of LGA]" caption="Distinct Count of LGA" numFmtId="0" hierarchy="24" level="32767"/>
    <cacheField name="[Table1].[State].[State]" caption="State" numFmtId="0" hierarchy="1"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1"/>
      </fieldsUsage>
    </cacheHierarchy>
    <cacheHierarchy uniqueName="[Table1].[LGA]" caption="LGA" attribute="1" defaultMemberUniqueName="[Table1].[LGA].[All]" allUniqueName="[Table1].[LGA].[All]" dimensionUniqueName="[Table1]" displayFolder="" count="0" memberValueDatatype="130" unbalanced="0"/>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oneField="1" hidden="1">
      <fieldsUsage count="1">
        <fieldUsage x="0"/>
      </fieldsUsage>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397453707" backgroundQuery="1" createdVersion="8" refreshedVersion="8" minRefreshableVersion="3" recordCount="0" supportSubquery="1" supportAdvancedDrill="1" xr:uid="{B8A42E47-6450-422B-B84B-12F68E57641F}">
  <cacheSource type="external" connectionId="1"/>
  <cacheFields count="5">
    <cacheField name="[Table1].[LGA].[LGA]" caption="LGA" numFmtId="0" hierarchy="2" level="1">
      <sharedItems count="6">
        <s v="AMAC"/>
        <s v="Bwari"/>
        <s v="Eti-Osa"/>
        <s v="Fagge"/>
        <s v="Nassarawa"/>
        <s v="Obio/Akpor"/>
      </sharedItems>
    </cacheField>
    <cacheField name="[Table1].[State].[State]" caption="State" numFmtId="0" hierarchy="1" level="1">
      <sharedItems count="4">
        <s v="Abuja"/>
        <s v="Kano"/>
        <s v="Lagos"/>
        <s v="Rivers"/>
      </sharedItems>
    </cacheField>
    <cacheField name="[Measures].[Sum of Party A shares %]" caption="Sum of Party A shares %" numFmtId="0" hierarchy="20" level="32767"/>
    <cacheField name="[Measures].[Sum of Party B Shares %]" caption="Sum of Party B Shares %" numFmtId="0" hierarchy="27" level="32767"/>
    <cacheField name="[Measures].[Sum of Party C Shares %]" caption="Sum of Party C Shares %" numFmtId="0" hierarchy="28" level="32767"/>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1"/>
      </fieldsUsage>
    </cacheHierarchy>
    <cacheHierarchy uniqueName="[Table1].[LGA]" caption="LGA" attribute="1" defaultMemberUniqueName="[Table1].[LGA].[All]" allUniqueName="[Table1].[LGA].[All]" dimensionUniqueName="[Table1]" displayFolder="" count="2" memberValueDatatype="130" unbalanced="0">
      <fieldsUsage count="2">
        <fieldUsage x="-1"/>
        <fieldUsage x="0"/>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oneField="1" hidden="1">
      <fieldsUsage count="1">
        <fieldUsage x="3"/>
      </fieldsUsage>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oneField="1" hidden="1">
      <fieldsUsage count="1">
        <fieldUsage x="4"/>
      </fieldsUsage>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Peter Obikpe" refreshedDate="46185.842398148146" backgroundQuery="1" createdVersion="8" refreshedVersion="8" minRefreshableVersion="3" recordCount="0" supportSubquery="1" supportAdvancedDrill="1" xr:uid="{04E14A9B-B104-4661-9F35-5E4183505BEE}">
  <cacheSource type="external" connectionId="1"/>
  <cacheFields count="9">
    <cacheField name="[Measures].[Sum of TotalVotesCast]" caption="Sum of TotalVotesCast" numFmtId="0" hierarchy="16" level="32767"/>
    <cacheField name="[Table1].[LGA].[LGA]" caption="LGA" numFmtId="0" hierarchy="2" level="1">
      <sharedItems count="6">
        <s v="AMAC"/>
        <s v="Bwari"/>
        <s v="Fagge"/>
        <s v="Nassarawa"/>
        <s v="Eti-Osa"/>
        <s v="Obio/Akpor"/>
      </sharedItems>
    </cacheField>
    <cacheField name="[Table1].[State].[State]" caption="State" numFmtId="0" hierarchy="1" level="1">
      <sharedItems count="4">
        <s v="Abuja"/>
        <s v="Kano"/>
        <s v="Lagos"/>
        <s v="Rivers"/>
      </sharedItems>
    </cacheField>
    <cacheField name="[Table1].[Ward].[Ward]" caption="Ward" numFmtId="0" hierarchy="3" level="1">
      <sharedItems count="109">
        <s v="Ward AA"/>
        <s v="Ward AB"/>
        <s v="Ward AC"/>
        <s v="Ward AD"/>
        <s v="Ward AE"/>
        <s v="Ward AF"/>
        <s v="Ward AG"/>
        <s v="Ward AH"/>
        <s v="Ward AI"/>
        <s v="Ward AJ"/>
        <s v="Ward AK"/>
        <s v="Ward AL"/>
        <s v="Ward AM"/>
        <s v="Ward AN"/>
        <s v="Ward AO"/>
        <s v="Ward AP"/>
        <s v="Ward AQ"/>
        <s v="Ward AR"/>
        <s v="Ward AS"/>
        <s v="Ward AT"/>
        <s v="Ward AU"/>
        <s v="Ward AV"/>
        <s v="Ward AW"/>
        <s v="Ward AX"/>
        <s v="Ward AY"/>
        <s v="Ward AZ"/>
        <s v="Ward BA"/>
        <s v="Ward BB"/>
        <s v="Ward BC"/>
        <s v="Ward BD"/>
        <s v="Ward BE"/>
        <s v="Ward BF"/>
        <s v="Ward BG"/>
        <s v="Ward BH"/>
        <s v="Ward BI"/>
        <s v="Ward BJ"/>
        <s v="Ward BK"/>
        <s v="Ward BL"/>
        <s v="Ward BM"/>
        <s v="Ward BN"/>
        <s v="Ward BO"/>
        <s v="Ward BP"/>
        <s v="Ward BQ"/>
        <s v="Ward BR"/>
        <s v="Ward BS"/>
        <s v="Ward BT"/>
        <s v="Ward BU"/>
        <s v="Ward BV"/>
        <s v="Ward BW"/>
        <s v="Ward BX"/>
        <s v="Ward BY"/>
        <s v="Ward BZ"/>
        <s v="Ward CA"/>
        <s v="Ward CB"/>
        <s v="Ward CC"/>
        <s v="Ward CD"/>
        <s v="Ward CE"/>
        <s v="Ward CF"/>
        <s v="Ward CG"/>
        <s v="Ward CH"/>
        <s v="Ward CI"/>
        <s v="Ward CJ"/>
        <s v="Ward CK"/>
        <s v="Ward CL"/>
        <s v="Ward CM"/>
        <s v="Ward CN"/>
        <s v="Ward CO"/>
        <s v="Ward CP"/>
        <s v="Ward CQ"/>
        <s v="Ward CR"/>
        <s v="Ward CS"/>
        <s v="Ward CT"/>
        <s v="Ward CU"/>
        <s v="Ward CV"/>
        <s v="Ward CW"/>
        <s v="Ward CX"/>
        <s v="Ward CY"/>
        <s v="Ward CZ"/>
        <s v="Ward DA"/>
        <s v="Ward DB"/>
        <s v="Ward DC"/>
        <s v="Ward DD"/>
        <s v="Ward DE"/>
        <s v="Ward DF"/>
        <s v="Ward DG"/>
        <s v="Ward DH"/>
        <s v="Ward DI"/>
        <s v="Ward DJ"/>
        <s v="Ward DK"/>
        <s v="Ward DL"/>
        <s v="Ward DM"/>
        <s v="Ward DN"/>
        <s v="Ward DO"/>
        <s v="Ward DP"/>
        <s v="Ward DQ"/>
        <s v="Ward DR"/>
        <s v="Ward DS"/>
        <s v="Ward DT"/>
        <s v="Ward DU"/>
        <s v="Ward DV"/>
        <s v="Ward DW"/>
        <s v="Ward Y"/>
        <s v="Ward Z"/>
        <s v="Ward X"/>
        <s v="Ward DX"/>
        <s v="Ward DY"/>
        <s v="Ward DZ"/>
        <s v="Ward EA"/>
        <s v="Ward EB"/>
      </sharedItems>
    </cacheField>
    <cacheField name="[Measures].[Sum of RegisteredVoters]" caption="Sum of RegisteredVoters" numFmtId="0" hierarchy="25" level="32767"/>
    <cacheField name="[Measures].[Average of Voters Turn up Rate]" caption="Average of Voters Turn up Rate" numFmtId="0" hierarchy="30" level="32767"/>
    <cacheField name="[Measures].[Sum of PartyAVotes]" caption="Sum of PartyAVotes" numFmtId="0" hierarchy="18" level="32767"/>
    <cacheField name="[Measures].[Sum of PartyBVotes]" caption="Sum of PartyBVotes" numFmtId="0" hierarchy="17" level="32767"/>
    <cacheField name="[Measures].[Sum of PartyCVotes]" caption="Sum of PartyCVotes" numFmtId="0" hierarchy="19" level="32767"/>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2"/>
      </fieldsUsage>
    </cacheHierarchy>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2" memberValueDatatype="130" unbalanced="0">
      <fieldsUsage count="2">
        <fieldUsage x="-1"/>
        <fieldUsage x="3"/>
      </fieldsUsage>
    </cacheHierarchy>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oneField="1" hidden="1">
      <fieldsUsage count="1">
        <fieldUsage x="7"/>
      </fieldsUsage>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oneField="1" hidden="1">
      <fieldsUsage count="1">
        <fieldUsage x="6"/>
      </fieldsUsage>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oneField="1" hidden="1">
      <fieldsUsage count="1">
        <fieldUsage x="8"/>
      </fieldsUsage>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oneField="1" hidden="1">
      <fieldsUsage count="1">
        <fieldUsage x="4"/>
      </fieldsUsage>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oneField="1" hidden="1">
      <fieldsUsage count="1">
        <fieldUsage x="5"/>
      </fieldsUsage>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398726854" backgroundQuery="1" createdVersion="8" refreshedVersion="8" minRefreshableVersion="3" recordCount="0" supportSubquery="1" supportAdvancedDrill="1" xr:uid="{B08F7D40-FABE-4272-B97E-99C1353DE877}">
  <cacheSource type="external" connectionId="1"/>
  <cacheFields count="3">
    <cacheField name="[Table1].[LGA].[LGA]" caption="LGA" numFmtId="0" hierarchy="2" level="1">
      <sharedItems count="6">
        <s v="AMAC"/>
        <s v="Bwari"/>
        <s v="Eti-Osa"/>
        <s v="Fagge"/>
        <s v="Nassarawa"/>
        <s v="Obio/Akpor"/>
      </sharedItems>
    </cacheField>
    <cacheField name="[Table1].[State].[State]" caption="State" numFmtId="0" hierarchy="1" level="1">
      <sharedItems count="4">
        <s v="Abuja"/>
        <s v="Kano"/>
        <s v="Lagos"/>
        <s v="Rivers"/>
      </sharedItems>
    </cacheField>
    <cacheField name="[Measures].[Sum of AB Vote Disparity]" caption="Sum of AB Vote Disparity" numFmtId="0" hierarchy="31" level="32767"/>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1"/>
      </fieldsUsage>
    </cacheHierarchy>
    <cacheHierarchy uniqueName="[Table1].[LGA]" caption="LGA" attribute="1" defaultMemberUniqueName="[Table1].[LGA].[All]" allUniqueName="[Table1].[LGA].[All]" dimensionUniqueName="[Table1]" displayFolder="" count="2" memberValueDatatype="130" unbalanced="0">
      <fieldsUsage count="2">
        <fieldUsage x="-1"/>
        <fieldUsage x="0"/>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Peter Obikpe" refreshedDate="46185.842399305555" backgroundQuery="1" createdVersion="8" refreshedVersion="8" minRefreshableVersion="3" recordCount="0" supportSubquery="1" supportAdvancedDrill="1" xr:uid="{3D224BB4-8DC6-4E73-83FE-7E932E90CF01}">
  <cacheSource type="external" connectionId="1"/>
  <cacheFields count="8">
    <cacheField name="[Measures].[Sum of TotalVotesCast]" caption="Sum of TotalVotesCast" numFmtId="0" hierarchy="16" level="32767"/>
    <cacheField name="[Table1].[LGA].[LGA]" caption="LGA" numFmtId="0" hierarchy="2" level="1">
      <sharedItems count="6">
        <s v="AMAC"/>
        <s v="Bwari"/>
        <s v="Obio/Akpor" u="1"/>
        <s v="Eti-Osa" u="1"/>
        <s v="Fagge" u="1"/>
        <s v="Nassarawa" u="1"/>
      </sharedItems>
    </cacheField>
    <cacheField name="[Table1].[State].[State]" caption="State" numFmtId="0" hierarchy="1" level="1">
      <sharedItems count="4">
        <s v="Abuja"/>
        <s v="Kano"/>
        <s v="Lagos"/>
        <s v="Rivers"/>
      </sharedItems>
    </cacheField>
    <cacheField name="[Measures].[Sum of RegisteredVoters]" caption="Sum of RegisteredVoters" numFmtId="0" hierarchy="25" level="32767"/>
    <cacheField name="[Measures].[Average of Voters Turn up Rate]" caption="Average of Voters Turn up Rate" numFmtId="0" hierarchy="30" level="32767"/>
    <cacheField name="[Measures].[Sum of PartyAVotes]" caption="Sum of PartyAVotes" numFmtId="0" hierarchy="18" level="32767"/>
    <cacheField name="[Measures].[Sum of PartyBVotes]" caption="Sum of PartyBVotes" numFmtId="0" hierarchy="17" level="32767"/>
    <cacheField name="[Measures].[Sum of PartyCVotes]" caption="Sum of PartyCVotes" numFmtId="0" hierarchy="19" level="32767"/>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2"/>
      </fieldsUsage>
    </cacheHierarchy>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oneField="1" hidden="1">
      <fieldsUsage count="1">
        <fieldUsage x="6"/>
      </fieldsUsage>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oneField="1" hidden="1">
      <fieldsUsage count="1">
        <fieldUsage x="5"/>
      </fieldsUsage>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oneField="1" hidden="1">
      <fieldsUsage count="1">
        <fieldUsage x="7"/>
      </fieldsUsage>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oneField="1" hidden="1">
      <fieldsUsage count="1">
        <fieldUsage x="3"/>
      </fieldsUsage>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oneField="1" hidden="1">
      <fieldsUsage count="1">
        <fieldUsage x="4"/>
      </fieldsUsage>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552430557" backgroundQuery="1" createdVersion="8" refreshedVersion="8" minRefreshableVersion="3" recordCount="0" supportSubquery="1" supportAdvancedDrill="1" xr:uid="{89680E41-2313-4A09-AA77-A1409C47EEFF}">
  <cacheSource type="external" connectionId="1"/>
  <cacheFields count="2">
    <cacheField name="[Measures].[Sum of PartyBVotes]" caption="Sum of PartyBVotes" numFmtId="0" hierarchy="17" level="32767"/>
    <cacheField name="[Table1].[LGA].[LGA]" caption="LGA" numFmtId="0" hierarchy="2"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552546295" backgroundQuery="1" createdVersion="8" refreshedVersion="8" minRefreshableVersion="3" recordCount="0" supportSubquery="1" supportAdvancedDrill="1" xr:uid="{A936987A-DC82-4DA9-B298-34BC8F32EE97}">
  <cacheSource type="external" connectionId="1"/>
  <cacheFields count="2">
    <cacheField name="[Measures].[Sum of PartyCVotes]" caption="Sum of PartyCVotes" numFmtId="0" hierarchy="19" level="32767"/>
    <cacheField name="[Table1].[LGA].[LGA]" caption="LGA" numFmtId="0" hierarchy="2"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55277778" backgroundQuery="1" createdVersion="8" refreshedVersion="8" minRefreshableVersion="3" recordCount="0" supportSubquery="1" supportAdvancedDrill="1" xr:uid="{79AAA817-195F-46C1-A514-393F42DDC64B}">
  <cacheSource type="external" connectionId="1"/>
  <cacheFields count="2">
    <cacheField name="[Measures].[Sum of TotalVotesCast]" caption="Sum of TotalVotesCast" numFmtId="0" hierarchy="16" level="32767"/>
    <cacheField name="[Table1].[LGA].[LGA]" caption="LGA" numFmtId="0" hierarchy="2"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553009257" backgroundQuery="1" createdVersion="8" refreshedVersion="8" minRefreshableVersion="3" recordCount="0" supportSubquery="1" supportAdvancedDrill="1" xr:uid="{B93DCFC8-410C-4ACE-B8DA-FC92AB3C0415}">
  <cacheSource type="external" connectionId="1"/>
  <cacheFields count="2">
    <cacheField name="[Measures].[Distinct Count of State]" caption="Distinct Count of State" numFmtId="0" hierarchy="22" level="32767"/>
    <cacheField name="[Table1].[LGA].[LGA]" caption="LGA" numFmtId="0" hierarchy="2"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oneField="1" hidden="1">
      <fieldsUsage count="1">
        <fieldUsage x="0"/>
      </fieldsUsage>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55335648" backgroundQuery="1" createdVersion="8" refreshedVersion="8" minRefreshableVersion="3" recordCount="0" supportSubquery="1" supportAdvancedDrill="1" xr:uid="{105F2B81-4C16-4CDE-BC9D-516CD8800CE4}">
  <cacheSource type="external" connectionId="1"/>
  <cacheFields count="2">
    <cacheField name="[Measures].[Sum of RegisteredVoters]" caption="Sum of RegisteredVoters" numFmtId="0" hierarchy="25" level="32767"/>
    <cacheField name="[Table1].[LGA].[LGA]" caption="LGA" numFmtId="0" hierarchy="2"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553472219" backgroundQuery="1" createdVersion="8" refreshedVersion="8" minRefreshableVersion="3" recordCount="0" supportSubquery="1" supportAdvancedDrill="1" xr:uid="{5B110ED8-BD8C-4E57-83BB-F1F67B16FC4D}">
  <cacheSource type="external" connectionId="1"/>
  <cacheFields count="2">
    <cacheField name="[Measures].[Count of Ward]" caption="Count of Ward" numFmtId="0" hierarchy="26" level="32767"/>
    <cacheField name="[Table1].[LGA].[LGA]" caption="LGA" numFmtId="0" hierarchy="2"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42553703704" backgroundQuery="1" createdVersion="8" refreshedVersion="8" minRefreshableVersion="3" recordCount="0" supportSubquery="1" supportAdvancedDrill="1" xr:uid="{8F4FB2F8-F9E0-4BCB-9051-97917E1DDD72}">
  <cacheSource type="external" connectionId="1"/>
  <cacheFields count="2">
    <cacheField name="[Measures].[Sum of PartyAVotes]" caption="Sum of PartyAVotes" numFmtId="0" hierarchy="18" level="32767"/>
    <cacheField name="[Table1].[LGA].[LGA]" caption="LGA" numFmtId="0" hierarchy="2" level="1">
      <sharedItems containsSemiMixedTypes="0" containsNonDate="0" containsString="0"/>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fieldsUsage count="2">
        <fieldUsage x="-1"/>
        <fieldUsage x="1"/>
      </fieldsUsage>
    </cacheHierarchy>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205.994052199072" backgroundQuery="1" createdVersion="8" refreshedVersion="8" minRefreshableVersion="3" recordCount="0" supportSubquery="1" supportAdvancedDrill="1" xr:uid="{7F37EDC6-A641-435A-8F50-202BC98FC963}">
  <cacheSource type="external" connectionId="1"/>
  <cacheFields count="2">
    <cacheField name="[Measures].[Sum of TotalVotesCast]" caption="Sum of TotalVotesCast" numFmtId="0" hierarchy="16" level="32767"/>
    <cacheField name="[Table1].[State].[State]" caption="State" numFmtId="0" hierarchy="1" level="1">
      <sharedItems count="4">
        <s v="Abuja"/>
        <s v="Kano"/>
        <s v="Lagos"/>
        <s v="Rivers"/>
      </sharedItems>
    </cacheField>
  </cacheFields>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fieldsUsage count="2">
        <fieldUsage x="-1"/>
        <fieldUsage x="1"/>
      </fieldsUsage>
    </cacheHierarchy>
    <cacheHierarchy uniqueName="[Table1].[LGA]" caption="LGA" attribute="1" defaultMemberUniqueName="[Table1].[LGA].[All]" allUniqueName="[Table1].[LGA].[All]" dimensionUniqueName="[Table1]" displayFolder="" count="0" memberValueDatatype="130" unbalanced="0"/>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oneField="1" hidden="1">
      <fieldsUsage count="1">
        <fieldUsage x="0"/>
      </fieldsUsage>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eter Obikpe" refreshedDate="46185.80492638889" backgroundQuery="1" createdVersion="3" refreshedVersion="8" minRefreshableVersion="3" recordCount="0" supportSubquery="1" supportAdvancedDrill="1" xr:uid="{B7B533A6-5E2E-42B3-8273-E9438D7D4D48}">
  <cacheSource type="external" connectionId="1">
    <extLst>
      <ext xmlns:x14="http://schemas.microsoft.com/office/spreadsheetml/2009/9/main" uri="{F057638F-6D5F-4e77-A914-E7F072B9BCA8}">
        <x14:sourceConnection name="ThisWorkbookDataModel"/>
      </ext>
    </extLst>
  </cacheSource>
  <cacheFields count="0"/>
  <cacheHierarchies count="33">
    <cacheHierarchy uniqueName="[Table1].[PollingUnitID]" caption="PollingUnitID" attribute="1" defaultMemberUniqueName="[Table1].[PollingUnitID].[All]" allUniqueName="[Table1].[PollingUnitID].[All]" dimensionUniqueName="[Table1]" displayFolder="" count="0" memberValueDatatype="130" unbalanced="0"/>
    <cacheHierarchy uniqueName="[Table1].[State]" caption="State" attribute="1" defaultMemberUniqueName="[Table1].[State].[All]" allUniqueName="[Table1].[State].[All]" dimensionUniqueName="[Table1]" displayFolder="" count="2" memberValueDatatype="130" unbalanced="0"/>
    <cacheHierarchy uniqueName="[Table1].[LGA]" caption="LGA" attribute="1" defaultMemberUniqueName="[Table1].[LGA].[All]" allUniqueName="[Table1].[LGA].[All]" dimensionUniqueName="[Table1]" displayFolder="" count="2" memberValueDatatype="130" unbalanced="0"/>
    <cacheHierarchy uniqueName="[Table1].[Ward]" caption="Ward" attribute="1" defaultMemberUniqueName="[Table1].[Ward].[All]" allUniqueName="[Table1].[Ward].[All]" dimensionUniqueName="[Table1]" displayFolder="" count="0" memberValueDatatype="130" unbalanced="0"/>
    <cacheHierarchy uniqueName="[Table1].[RegisteredVoters]" caption="RegisteredVoters" attribute="1" defaultMemberUniqueName="[Table1].[RegisteredVoters].[All]" allUniqueName="[Table1].[RegisteredVoters].[All]" dimensionUniqueName="[Table1]" displayFolder="" count="0" memberValueDatatype="20" unbalanced="0"/>
    <cacheHierarchy uniqueName="[Table1].[PartyAVotes]" caption="PartyAVotes" attribute="1" defaultMemberUniqueName="[Table1].[PartyAVotes].[All]" allUniqueName="[Table1].[PartyAVotes].[All]" dimensionUniqueName="[Table1]" displayFolder="" count="0" memberValueDatatype="20" unbalanced="0"/>
    <cacheHierarchy uniqueName="[Table1].[PartyBVotes]" caption="PartyBVotes" attribute="1" defaultMemberUniqueName="[Table1].[PartyBVotes].[All]" allUniqueName="[Table1].[PartyBVotes].[All]" dimensionUniqueName="[Table1]" displayFolder="" count="0" memberValueDatatype="20" unbalanced="0"/>
    <cacheHierarchy uniqueName="[Table1].[PartyCVotes]" caption="PartyCVotes" attribute="1" defaultMemberUniqueName="[Table1].[PartyCVotes].[All]" allUniqueName="[Table1].[PartyCVotes].[All]" dimensionUniqueName="[Table1]" displayFolder="" count="0" memberValueDatatype="20" unbalanced="0"/>
    <cacheHierarchy uniqueName="[Table1].[TotalVotesCast]" caption="TotalVotesCast" attribute="1" defaultMemberUniqueName="[Table1].[TotalVotesCast].[All]" allUniqueName="[Table1].[TotalVotesCast].[All]" dimensionUniqueName="[Table1]" displayFolder="" count="0" memberValueDatatype="20" unbalanced="0"/>
    <cacheHierarchy uniqueName="[Table1].[Party A shares %]" caption="Party A shares %" attribute="1" defaultMemberUniqueName="[Table1].[Party A shares %].[All]" allUniqueName="[Table1].[Party A shares %].[All]" dimensionUniqueName="[Table1]" displayFolder="" count="0" memberValueDatatype="5" unbalanced="0"/>
    <cacheHierarchy uniqueName="[Table1].[Party B Shares %]" caption="Party B Shares %" attribute="1" defaultMemberUniqueName="[Table1].[Party B Shares %].[All]" allUniqueName="[Table1].[Party B Shares %].[All]" dimensionUniqueName="[Table1]" displayFolder="" count="0" memberValueDatatype="5" unbalanced="0"/>
    <cacheHierarchy uniqueName="[Table1].[Party C Shares %]" caption="Party C Shares %" attribute="1" defaultMemberUniqueName="[Table1].[Party C Shares %].[All]" allUniqueName="[Table1].[Party C Shares %].[All]" dimensionUniqueName="[Table1]" displayFolder="" count="0" memberValueDatatype="5" unbalanced="0"/>
    <cacheHierarchy uniqueName="[Table1].[AB Vote Disparity]" caption="AB Vote Disparity" attribute="1" defaultMemberUniqueName="[Table1].[AB Vote Disparity].[All]" allUniqueName="[Table1].[AB Vote Disparity].[All]" dimensionUniqueName="[Table1]" displayFolder="" count="0" memberValueDatatype="20" unbalanced="0"/>
    <cacheHierarchy uniqueName="[Table1].[Voters Turn up Rate]" caption="Voters Turn up Rate" attribute="1" defaultMemberUniqueName="[Table1].[Voters Turn up Rate].[All]" allUniqueName="[Table1].[Voters Turn up Rate].[All]" dimensionUniqueName="[Table1]" displayFolder="" count="0" memberValueDatatype="5"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TotalVotesCast]" caption="Sum of TotalVotesCast" measure="1" displayFolder="" measureGroup="Table1" count="0" hidden="1">
      <extLst>
        <ext xmlns:x15="http://schemas.microsoft.com/office/spreadsheetml/2010/11/main" uri="{B97F6D7D-B522-45F9-BDA1-12C45D357490}">
          <x15:cacheHierarchy aggregatedColumn="8"/>
        </ext>
      </extLst>
    </cacheHierarchy>
    <cacheHierarchy uniqueName="[Measures].[Sum of PartyBVotes]" caption="Sum of PartyBVotes" measure="1" displayFolder="" measureGroup="Table1" count="0" hidden="1">
      <extLst>
        <ext xmlns:x15="http://schemas.microsoft.com/office/spreadsheetml/2010/11/main" uri="{B97F6D7D-B522-45F9-BDA1-12C45D357490}">
          <x15:cacheHierarchy aggregatedColumn="6"/>
        </ext>
      </extLst>
    </cacheHierarchy>
    <cacheHierarchy uniqueName="[Measures].[Sum of PartyAVotes]" caption="Sum of PartyAVotes" measure="1" displayFolder="" measureGroup="Table1" count="0" hidden="1">
      <extLst>
        <ext xmlns:x15="http://schemas.microsoft.com/office/spreadsheetml/2010/11/main" uri="{B97F6D7D-B522-45F9-BDA1-12C45D357490}">
          <x15:cacheHierarchy aggregatedColumn="5"/>
        </ext>
      </extLst>
    </cacheHierarchy>
    <cacheHierarchy uniqueName="[Measures].[Sum of PartyCVotes]" caption="Sum of PartyCVotes" measure="1" displayFolder="" measureGroup="Table1" count="0" hidden="1">
      <extLst>
        <ext xmlns:x15="http://schemas.microsoft.com/office/spreadsheetml/2010/11/main" uri="{B97F6D7D-B522-45F9-BDA1-12C45D357490}">
          <x15:cacheHierarchy aggregatedColumn="7"/>
        </ext>
      </extLst>
    </cacheHierarchy>
    <cacheHierarchy uniqueName="[Measures].[Sum of Party A shares %]" caption="Sum of Party A shares %" measure="1" displayFolder="" measureGroup="Table1" count="0" hidden="1">
      <extLst>
        <ext xmlns:x15="http://schemas.microsoft.com/office/spreadsheetml/2010/11/main" uri="{B97F6D7D-B522-45F9-BDA1-12C45D357490}">
          <x15:cacheHierarchy aggregatedColumn="9"/>
        </ext>
      </extLst>
    </cacheHierarchy>
    <cacheHierarchy uniqueName="[Measures].[Count of State]" caption="Count of State" measure="1" displayFolder="" measureGroup="Table1" count="0" hidden="1">
      <extLst>
        <ext xmlns:x15="http://schemas.microsoft.com/office/spreadsheetml/2010/11/main" uri="{B97F6D7D-B522-45F9-BDA1-12C45D357490}">
          <x15:cacheHierarchy aggregatedColumn="1"/>
        </ext>
      </extLst>
    </cacheHierarchy>
    <cacheHierarchy uniqueName="[Measures].[Distinct Count of State]" caption="Distinct Count of State" measure="1" displayFolder="" measureGroup="Table1" count="0" hidden="1">
      <extLst>
        <ext xmlns:x15="http://schemas.microsoft.com/office/spreadsheetml/2010/11/main" uri="{B97F6D7D-B522-45F9-BDA1-12C45D357490}">
          <x15:cacheHierarchy aggregatedColumn="1"/>
        </ext>
      </extLst>
    </cacheHierarchy>
    <cacheHierarchy uniqueName="[Measures].[Count of LGA]" caption="Count of LGA" measure="1" displayFolder="" measureGroup="Table1" count="0" hidden="1">
      <extLst>
        <ext xmlns:x15="http://schemas.microsoft.com/office/spreadsheetml/2010/11/main" uri="{B97F6D7D-B522-45F9-BDA1-12C45D357490}">
          <x15:cacheHierarchy aggregatedColumn="2"/>
        </ext>
      </extLst>
    </cacheHierarchy>
    <cacheHierarchy uniqueName="[Measures].[Distinct Count of LGA]" caption="Distinct Count of LGA" measure="1" displayFolder="" measureGroup="Table1" count="0" hidden="1">
      <extLst>
        <ext xmlns:x15="http://schemas.microsoft.com/office/spreadsheetml/2010/11/main" uri="{B97F6D7D-B522-45F9-BDA1-12C45D357490}">
          <x15:cacheHierarchy aggregatedColumn="2"/>
        </ext>
      </extLst>
    </cacheHierarchy>
    <cacheHierarchy uniqueName="[Measures].[Sum of RegisteredVoters]" caption="Sum of RegisteredVoters" measure="1" displayFolder="" measureGroup="Table1" count="0" hidden="1">
      <extLst>
        <ext xmlns:x15="http://schemas.microsoft.com/office/spreadsheetml/2010/11/main" uri="{B97F6D7D-B522-45F9-BDA1-12C45D357490}">
          <x15:cacheHierarchy aggregatedColumn="4"/>
        </ext>
      </extLst>
    </cacheHierarchy>
    <cacheHierarchy uniqueName="[Measures].[Count of Ward]" caption="Count of Ward" measure="1" displayFolder="" measureGroup="Table1" count="0" hidden="1">
      <extLst>
        <ext xmlns:x15="http://schemas.microsoft.com/office/spreadsheetml/2010/11/main" uri="{B97F6D7D-B522-45F9-BDA1-12C45D357490}">
          <x15:cacheHierarchy aggregatedColumn="3"/>
        </ext>
      </extLst>
    </cacheHierarchy>
    <cacheHierarchy uniqueName="[Measures].[Sum of Party B Shares %]" caption="Sum of Party B Shares %" measure="1" displayFolder="" measureGroup="Table1" count="0" hidden="1">
      <extLst>
        <ext xmlns:x15="http://schemas.microsoft.com/office/spreadsheetml/2010/11/main" uri="{B97F6D7D-B522-45F9-BDA1-12C45D357490}">
          <x15:cacheHierarchy aggregatedColumn="10"/>
        </ext>
      </extLst>
    </cacheHierarchy>
    <cacheHierarchy uniqueName="[Measures].[Sum of Party C Shares %]" caption="Sum of Party C Shares %" measure="1" displayFolder="" measureGroup="Table1" count="0" hidden="1">
      <extLst>
        <ext xmlns:x15="http://schemas.microsoft.com/office/spreadsheetml/2010/11/main" uri="{B97F6D7D-B522-45F9-BDA1-12C45D357490}">
          <x15:cacheHierarchy aggregatedColumn="11"/>
        </ext>
      </extLst>
    </cacheHierarchy>
    <cacheHierarchy uniqueName="[Measures].[Sum of Voters Turn up Rate]" caption="Sum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Average of Voters Turn up Rate]" caption="Average of Voters Turn up Rate" measure="1" displayFolder="" measureGroup="Table1" count="0" hidden="1">
      <extLst>
        <ext xmlns:x15="http://schemas.microsoft.com/office/spreadsheetml/2010/11/main" uri="{B97F6D7D-B522-45F9-BDA1-12C45D357490}">
          <x15:cacheHierarchy aggregatedColumn="13"/>
        </ext>
      </extLst>
    </cacheHierarchy>
    <cacheHierarchy uniqueName="[Measures].[Sum of AB Vote Disparity]" caption="Sum of AB Vote Disparity" measure="1" displayFolder="" measureGroup="Table1" count="0" hidden="1">
      <extLst>
        <ext xmlns:x15="http://schemas.microsoft.com/office/spreadsheetml/2010/11/main" uri="{B97F6D7D-B522-45F9-BDA1-12C45D357490}">
          <x15:cacheHierarchy aggregatedColumn="12"/>
        </ext>
      </extLst>
    </cacheHierarchy>
    <cacheHierarchy uniqueName="[Measures].[Average of AB Vote Disparity]" caption="Average of AB Vote Disparity" measure="1" displayFolder="" measureGroup="Table1"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38508844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AE6E82-7946-45A2-B697-97D0F7C22469}" name="PivotTable3" cacheId="2" dataOnRows="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3">
  <location ref="A11:B14" firstHeaderRow="1" firstDataRow="1" firstDataCol="1"/>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3">
    <i>
      <x/>
    </i>
    <i i="1">
      <x v="1"/>
    </i>
    <i i="2">
      <x v="2"/>
    </i>
  </rowItems>
  <colItems count="1">
    <i/>
  </colItems>
  <dataFields count="3">
    <dataField name="Party A Votes" fld="0" baseField="0" baseItem="0"/>
    <dataField name="Party B Votes" fld="1" baseField="0" baseItem="0"/>
    <dataField name="Party C Votes" fld="2" baseField="0" baseItem="0"/>
  </dataFields>
  <chartFormats count="12">
    <chartFormat chart="15" format="10" series="1">
      <pivotArea type="data" outline="0" fieldPosition="0">
        <references count="1">
          <reference field="4294967294" count="1" selected="0">
            <x v="0"/>
          </reference>
        </references>
      </pivotArea>
    </chartFormat>
    <chartFormat chart="15" format="11">
      <pivotArea type="data" outline="0" fieldPosition="0">
        <references count="1">
          <reference field="4294967294" count="1" selected="0">
            <x v="0"/>
          </reference>
        </references>
      </pivotArea>
    </chartFormat>
    <chartFormat chart="15" format="12">
      <pivotArea type="data" outline="0" fieldPosition="0">
        <references count="1">
          <reference field="4294967294" count="1" selected="0">
            <x v="1"/>
          </reference>
        </references>
      </pivotArea>
    </chartFormat>
    <chartFormat chart="15" format="13">
      <pivotArea type="data" outline="0" fieldPosition="0">
        <references count="1">
          <reference field="4294967294" count="1" selected="0">
            <x v="2"/>
          </reference>
        </references>
      </pivotArea>
    </chartFormat>
    <chartFormat chart="20" format="18" series="1">
      <pivotArea type="data" outline="0" fieldPosition="0">
        <references count="1">
          <reference field="4294967294" count="1" selected="0">
            <x v="0"/>
          </reference>
        </references>
      </pivotArea>
    </chartFormat>
    <chartFormat chart="20" format="19">
      <pivotArea type="data" outline="0" fieldPosition="0">
        <references count="1">
          <reference field="4294967294" count="1" selected="0">
            <x v="0"/>
          </reference>
        </references>
      </pivotArea>
    </chartFormat>
    <chartFormat chart="20" format="20">
      <pivotArea type="data" outline="0" fieldPosition="0">
        <references count="1">
          <reference field="4294967294" count="1" selected="0">
            <x v="1"/>
          </reference>
        </references>
      </pivotArea>
    </chartFormat>
    <chartFormat chart="20" format="21">
      <pivotArea type="data" outline="0" fieldPosition="0">
        <references count="1">
          <reference field="4294967294" count="1" selected="0">
            <x v="2"/>
          </reference>
        </references>
      </pivotArea>
    </chartFormat>
    <chartFormat chart="22" format="26" series="1">
      <pivotArea type="data" outline="0" fieldPosition="0">
        <references count="1">
          <reference field="4294967294" count="1" selected="0">
            <x v="0"/>
          </reference>
        </references>
      </pivotArea>
    </chartFormat>
    <chartFormat chart="22" format="27">
      <pivotArea type="data" outline="0" fieldPosition="0">
        <references count="1">
          <reference field="4294967294" count="1" selected="0">
            <x v="0"/>
          </reference>
        </references>
      </pivotArea>
    </chartFormat>
    <chartFormat chart="22" format="28">
      <pivotArea type="data" outline="0" fieldPosition="0">
        <references count="1">
          <reference field="4294967294" count="1" selected="0">
            <x v="1"/>
          </reference>
        </references>
      </pivotArea>
    </chartFormat>
    <chartFormat chart="22" format="29">
      <pivotArea type="data" outline="0" fieldPosition="0">
        <references count="1">
          <reference field="4294967294"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Party B Votes"/>
    <pivotHierarchy dragToData="1" caption="Party A Votes"/>
    <pivotHierarchy dragToData="1" caption="Party C Vot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8B3B36-950B-4463-950F-755BD3E8B972}" name="PivotTable15"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0">
  <location ref="D14:G19" firstHeaderRow="0" firstDataRow="1" firstDataCol="1"/>
  <pivotFields count="5">
    <pivotField allDrilled="1" subtotalTop="0" showAll="0" defaultSubtotal="0" defaultAttributeDrillState="1">
      <items count="6">
        <item s="1" x="0"/>
        <item s="1" x="1"/>
        <item s="1" x="2"/>
        <item s="1" x="3"/>
        <item s="1" x="4"/>
        <item s="1" x="5"/>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s>
  <rowFields count="1">
    <field x="1"/>
  </rowFields>
  <rowItems count="5">
    <i>
      <x/>
    </i>
    <i>
      <x v="1"/>
    </i>
    <i>
      <x v="2"/>
    </i>
    <i>
      <x v="3"/>
    </i>
    <i t="grand">
      <x/>
    </i>
  </rowItems>
  <colFields count="1">
    <field x="-2"/>
  </colFields>
  <colItems count="3">
    <i>
      <x/>
    </i>
    <i i="1">
      <x v="1"/>
    </i>
    <i i="2">
      <x v="2"/>
    </i>
  </colItems>
  <dataFields count="3">
    <dataField name="Sum of Party A shares %" fld="2" baseField="0" baseItem="0"/>
    <dataField name="Sum of Party B Shares %" fld="3" baseField="0" baseItem="0"/>
    <dataField name="Sum of Party C Shares %" fld="4" baseField="0" baseItem="0"/>
  </dataFields>
  <chartFormats count="6">
    <chartFormat chart="17" format="6" series="1">
      <pivotArea type="data" outline="0" fieldPosition="0">
        <references count="1">
          <reference field="4294967294" count="1" selected="0">
            <x v="0"/>
          </reference>
        </references>
      </pivotArea>
    </chartFormat>
    <chartFormat chart="17"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0"/>
          </reference>
        </references>
      </pivotArea>
    </chartFormat>
    <chartFormat chart="19" format="13" series="1">
      <pivotArea type="data" outline="0" fieldPosition="0">
        <references count="1">
          <reference field="4294967294" count="1" selected="0">
            <x v="1"/>
          </reference>
        </references>
      </pivotArea>
    </chartFormat>
    <chartFormat chart="19" format="14" series="1">
      <pivotArea type="data" outline="0" fieldPosition="0">
        <references count="1">
          <reference field="4294967294" count="1" selected="0">
            <x v="2"/>
          </reference>
        </references>
      </pivotArea>
    </chartFormat>
  </chartFormats>
  <pivotHierarchies count="3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062279-6E37-4212-BF66-983D2B4F0D91}" name="PivotTable4"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16:C17"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Sum of PartyAVotes" fld="0" baseField="0" baseItem="0"/>
    <dataField name="Sum of PartyBVotes" fld="1" baseField="0" baseItem="0"/>
    <dataField name="Sum of PartyCVotes" fld="2" baseField="0" baseItem="0"/>
  </dataFields>
  <pivotHierarchies count="3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7C26B5-3B7C-48DE-B52A-0B5908E5AB4D}" name="PivotTable7" cacheId="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30:A3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gisteredVoters" fld="0" baseField="0" baseItem="0"/>
  </dataFields>
  <pivotHierarchies count="33">
    <pivotHierarchy dragToData="1"/>
    <pivotHierarchy multipleItemSelectionAllowed="1" dragToData="1"/>
    <pivotHierarchy multipleItemSelectionAllowed="1" dragToData="1">
      <members count="1" level="1">
        <member name="[Table1].[LGA].&amp;[Bwar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5EA6C3-7CA8-4633-B81D-C3B3F5A17522}" name="PivotTable18"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7">
  <location ref="D30:E35" firstHeaderRow="1" firstDataRow="1" firstDataCol="1"/>
  <pivotFields count="3">
    <pivotField allDrilled="1" subtotalTop="0" showAll="0" defaultSubtotal="0" defaultAttributeDrillState="1">
      <items count="6">
        <item s="1" x="0"/>
        <item s="1" x="1"/>
        <item s="1" x="2"/>
        <item s="1" x="3"/>
        <item s="1" x="4"/>
        <item s="1" x="5"/>
      </items>
    </pivotField>
    <pivotField axis="axisRow" allDrilled="1" subtotalTop="0" showAll="0" defaultSubtotal="0" defaultAttributeDrillState="1">
      <items count="4">
        <item x="2"/>
        <item x="0"/>
        <item x="1"/>
        <item x="3"/>
      </items>
    </pivotField>
    <pivotField dataField="1" subtotalTop="0" showAll="0" defaultSubtotal="0"/>
  </pivotFields>
  <rowFields count="1">
    <field x="1"/>
  </rowFields>
  <rowItems count="5">
    <i>
      <x/>
    </i>
    <i>
      <x v="1"/>
    </i>
    <i>
      <x v="2"/>
    </i>
    <i>
      <x v="3"/>
    </i>
    <i t="grand">
      <x/>
    </i>
  </rowItems>
  <colItems count="1">
    <i/>
  </colItems>
  <dataFields count="1">
    <dataField name="Sum of AB Vote Disparity" fld="2" baseField="1" baseItem="0" numFmtId="2"/>
  </dataFields>
  <formats count="1">
    <format dxfId="4">
      <pivotArea outline="0" collapsedLevelsAreSubtotals="1" fieldPosition="0"/>
    </format>
  </formats>
  <chartFormats count="2">
    <chartFormat chart="24" format="3"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ational Average Margin"/>
    <pivotHierarchy dragToData="1" caption="National Average Margin"/>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0AF687B-377C-472B-ABBB-A018B622F1AB}" name="PivotTable6" cacheId="1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26:A2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State" fld="0" subtotal="count" baseField="0" baseItem="0">
      <extLst>
        <ext xmlns:x15="http://schemas.microsoft.com/office/spreadsheetml/2010/11/main" uri="{FABC7310-3BB5-11E1-824E-6D434824019B}">
          <x15:dataField isCountDistinct="1"/>
        </ext>
      </extLst>
    </dataField>
  </dataFields>
  <pivotHierarchies count="33">
    <pivotHierarchy dragToData="1"/>
    <pivotHierarchy multipleItemSelectionAllowed="1" dragToData="1"/>
    <pivotHierarchy multipleItemSelectionAllowed="1" dragToData="1">
      <members count="1" level="1">
        <member name="[Table1].[LGA].&amp;[Bwar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9B7CEDF-A10B-45FA-BFCB-97F1C33D4C15}" name="PivotTable5"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22:A2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LGA" fld="0" subtotal="count" baseField="0" baseItem="0">
      <extLst>
        <ext xmlns:x15="http://schemas.microsoft.com/office/spreadsheetml/2010/11/main" uri="{FABC7310-3BB5-11E1-824E-6D434824019B}">
          <x15:dataField isCountDistinct="1"/>
        </ext>
      </extLst>
    </dataField>
  </dataFields>
  <pivotHierarchies count="3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33680E9-027D-4CFE-A891-A5A55D9D4939}" name="PivotTable8" cacheId="14"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8">
  <location ref="A35:A3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Ward" fld="0" subtotal="count" baseField="0" baseItem="0"/>
  </dataFields>
  <pivotHierarchies count="33">
    <pivotHierarchy dragToData="1"/>
    <pivotHierarchy multipleItemSelectionAllowed="1" dragToData="1"/>
    <pivotHierarchy multipleItemSelectionAllowed="1" dragToData="1">
      <members count="1" level="1">
        <member name="[Table1].[LGA].&amp;[Bwar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17CB132-2594-4397-867A-6CE531EF0E85}" name="PivotTable9" cacheId="15"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8">
  <location ref="A39:A4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artyAVotes" fld="0" baseField="0" baseItem="0"/>
  </dataFields>
  <pivotHierarchies count="33">
    <pivotHierarchy dragToData="1"/>
    <pivotHierarchy multipleItemSelectionAllowed="1" dragToData="1"/>
    <pivotHierarchy multipleItemSelectionAllowed="1" dragToData="1">
      <members count="1" level="1">
        <member name="[Table1].[LGA].&amp;[Bwar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C991931-55A2-4847-8FD1-BAC18897526D}" name="PivotTable14"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3">
  <location ref="G3:H9" firstHeaderRow="1" firstDataRow="1" firstDataCol="1"/>
  <pivotFields count="4">
    <pivotField dataField="1" subtotalTop="0" showAll="0" defaultSubtotal="0"/>
    <pivotField allDrilled="1" subtotalTop="0" showAll="0" sortType="descending" defaultSubtotal="0" defaultAttributeDrillState="1">
      <items count="5">
        <item s="1" x="0"/>
        <item s="1" x="1"/>
        <item s="1" x="2"/>
        <item s="1" x="3"/>
        <item x="4"/>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6">
    <i>
      <x v="4"/>
    </i>
    <i>
      <x v="3"/>
    </i>
    <i>
      <x v="2"/>
    </i>
    <i>
      <x v="1"/>
    </i>
    <i>
      <x/>
    </i>
    <i t="grand">
      <x/>
    </i>
  </rowItems>
  <colItems count="1">
    <i/>
  </colItems>
  <dataFields count="1">
    <dataField name="Sum of TotalVotesCast" fld="0" baseField="0" baseItem="0"/>
  </dataFields>
  <chartFormats count="8">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2" format="6"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multipleItemSelectionAllowed="1" dragToData="1">
      <members count="6" level="1">
        <member name=""/>
        <member name=""/>
        <member name="[Table1].[LGA].&amp;[Eti-Osa]"/>
        <member name="[Table1].[LGA].&amp;[Fagge]"/>
        <member name=""/>
        <member nam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16">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9101241-31B6-440A-A1E8-1090EBF6BE90}"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D3:E10" firstHeaderRow="1" firstDataRow="1" firstDataCol="1"/>
  <pivotFields count="3">
    <pivotField dataField="1" subtotalTop="0" showAll="0" defaultSubtotal="0"/>
    <pivotField axis="axisRow" allDrilled="1" subtotalTop="0" showAll="0" sortType="ascending" defaultSubtotal="0" defaultAttributeDrillState="1">
      <items count="6">
        <item s="1" x="0"/>
        <item s="1" x="1"/>
        <item s="1" x="2"/>
        <item s="1" x="3"/>
        <item s="1" x="4"/>
        <item s="1"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7">
    <i>
      <x v="2"/>
    </i>
    <i>
      <x v="3"/>
    </i>
    <i>
      <x v="4"/>
    </i>
    <i>
      <x v="5"/>
    </i>
    <i>
      <x v="1"/>
    </i>
    <i>
      <x/>
    </i>
    <i t="grand">
      <x/>
    </i>
  </rowItems>
  <colItems count="1">
    <i/>
  </colItems>
  <dataFields count="1">
    <dataField name="Sum of TotalVotesCast" fld="0" baseField="0" baseItem="0"/>
  </dataFields>
  <chartFormats count="6">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9" format="4" series="1">
      <pivotArea type="data" outline="0" fieldPosition="0">
        <references count="1">
          <reference field="4294967294" count="1" selected="0">
            <x v="0"/>
          </reference>
        </references>
      </pivotArea>
    </chartFormat>
    <chartFormat chart="21" format="6"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569F595-ACD2-46AC-B8ED-D747C69435EA}" name="PivotTable11" cacheId="1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8">
  <location ref="A47:A4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artyCVotes" fld="0" baseField="0" baseItem="0"/>
  </dataFields>
  <pivotHierarchies count="33">
    <pivotHierarchy dragToData="1"/>
    <pivotHierarchy multipleItemSelectionAllowed="1" dragToData="1"/>
    <pivotHierarchy multipleItemSelectionAllowed="1" dragToData="1">
      <members count="1" level="1">
        <member name="[Table1].[LGA].&amp;[Bwar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0D1E222-9DF6-4E2B-BA8C-80868CEEDFB0}" name="PivotTable10" cacheId="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8">
  <location ref="A43:A4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artyBVotes" fld="0" baseField="0" baseItem="0"/>
  </dataFields>
  <pivotHierarchies count="33">
    <pivotHierarchy dragToData="1"/>
    <pivotHierarchy multipleItemSelectionAllowed="1" dragToData="1"/>
    <pivotHierarchy multipleItemSelectionAllowed="1" dragToData="1">
      <members count="1" level="1">
        <member name="[Table1].[LGA].&amp;[Bwar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C888937-CBEB-4F38-B1A6-56D0F4989243}" name="PivotTable16" cacheId="6"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14">
  <location ref="D21" firstHeaderRow="0" firstDataRow="0" firstDataCol="0"/>
  <pivotFields count="9">
    <pivotField dataField="1" subtotalTop="0" showAll="0" defaultSubtotal="0"/>
    <pivotField axis="axisRow" allDrilled="1" subtotalTop="0" showAll="0" defaultSubtotal="0" defaultAttributeDrillState="1">
      <items count="6">
        <item s="1" x="0"/>
        <item s="1" x="1"/>
        <item s="1" x="2"/>
        <item s="1" x="3"/>
        <item s="1" x="4"/>
        <item s="1" x="5"/>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3">
    <field x="2"/>
    <field x="1"/>
    <field x="3"/>
  </rowFields>
  <rowItems count="611">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1">
      <x v="1"/>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101"/>
    </i>
    <i r="2">
      <x v="102"/>
    </i>
    <i>
      <x v="1"/>
    </i>
    <i r="1">
      <x v="2"/>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103"/>
    </i>
    <i r="2">
      <x v="101"/>
    </i>
    <i r="2">
      <x v="102"/>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4"/>
    </i>
    <i r="2">
      <x v="102"/>
    </i>
    <i>
      <x v="2"/>
    </i>
    <i r="1">
      <x v="4"/>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102"/>
    </i>
    <i>
      <x v="3"/>
    </i>
    <i r="1">
      <x v="5"/>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4"/>
    </i>
    <i r="2">
      <x v="105"/>
    </i>
    <i r="2">
      <x v="106"/>
    </i>
    <i r="2">
      <x v="107"/>
    </i>
    <i r="2">
      <x v="108"/>
    </i>
    <i t="grand">
      <x/>
    </i>
  </rowItems>
  <colFields count="1">
    <field x="-2"/>
  </colFields>
  <colItems count="6">
    <i>
      <x/>
    </i>
    <i i="1">
      <x v="1"/>
    </i>
    <i i="2">
      <x v="2"/>
    </i>
    <i i="3">
      <x v="3"/>
    </i>
    <i i="4">
      <x v="4"/>
    </i>
    <i i="5">
      <x v="5"/>
    </i>
  </colItems>
  <dataFields count="6">
    <dataField name="Registered Voters" fld="4" baseField="0" baseItem="0"/>
    <dataField name="Total Votes Cast" fld="0" baseField="0" baseItem="0"/>
    <dataField name="Average Voters Turn up Rate" fld="5" subtotal="average" baseField="2" baseItem="3" numFmtId="164"/>
    <dataField name="Party A Vote" fld="6" baseField="0" baseItem="0"/>
    <dataField name="Party B Votes" fld="7" baseField="0" baseItem="0"/>
    <dataField name="Party C Votes" fld="8" baseField="0" baseItem="0"/>
  </dataFields>
  <formats count="1">
    <format dxfId="5">
      <pivotArea outline="0" collapsedLevelsAreSubtotals="1" fieldPosition="0">
        <references count="1">
          <reference field="4294967294" count="1" selected="0">
            <x v="2"/>
          </reference>
        </references>
      </pivotArea>
    </format>
  </formats>
  <chartFormats count="4">
    <chartFormat chart="0" format="0"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1"/>
          </reference>
        </references>
      </pivotArea>
    </chartFormat>
  </chartFormats>
  <pivotHierarchies count="3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Votes Cast"/>
    <pivotHierarchy dragToData="1" caption="Party B Votes"/>
    <pivotHierarchy dragToData="1" caption="Party A Vote"/>
    <pivotHierarchy dragToData="1" caption="Party C Votes"/>
    <pivotHierarchy dragToData="1"/>
    <pivotHierarchy dragToData="1"/>
    <pivotHierarchy dragToData="1"/>
    <pivotHierarchy dragToData="1"/>
    <pivotHierarchy dragToData="1"/>
    <pivotHierarchy dragToData="1" caption="Registered Voters"/>
    <pivotHierarchy dragToData="1"/>
    <pivotHierarchy dragToData="1"/>
    <pivotHierarchy dragToData="1"/>
    <pivotHierarchy dragToData="1"/>
    <pivotHierarchy dragToData="1" caption="Average Voters Turn up Rate"/>
    <pivotHierarchy dragToData="1"/>
    <pivotHierarchy dragToData="1"/>
  </pivotHierarchies>
  <pivotTableStyleInfo name="PivotStyleLight16" showRowHeaders="1" showColHeaders="1" showRowStripes="0" showColStripes="0" showLastColumn="1"/>
  <rowHierarchiesUsage count="3">
    <rowHierarchyUsage hierarchyUsage="1"/>
    <rowHierarchyUsage hierarchyUsage="2"/>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22599ED-16B1-4CCB-A0F5-445F256A3F45}" name="PivotTable12" cacheId="1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8">
  <location ref="A51:A5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TotalVotesCast" fld="0" baseField="0" baseItem="0"/>
  </dataFields>
  <pivotHierarchies count="33">
    <pivotHierarchy dragToData="1"/>
    <pivotHierarchy multipleItemSelectionAllowed="1" dragToData="1"/>
    <pivotHierarchy multipleItemSelectionAllowed="1" dragToData="1">
      <members count="1" level="1">
        <member name="[Table1].[LGA].&amp;[Bwari]"/>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State"/>
    <pivotHierarchy dragToData="1"/>
    <pivotHierarchy dragToData="1" caption="Distinct Count of LGA"/>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B42F8FD-97CC-466D-9FFC-D1BA7472221A}" name="PivotTable2"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8"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name="Sum of TotalVotesCast" fld="0" baseField="0" baseItem="0"/>
  </dataFields>
  <chartFormats count="3">
    <chartFormat chart="2"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46115B1-BD2A-4CB1-9D52-B55AA64110AA}" name="PivotTable19" cacheId="8" applyNumberFormats="0" applyBorderFormats="0" applyFontFormats="0" applyPatternFormats="0" applyAlignmentFormats="0" applyWidthHeightFormats="1" dataCaption="Values" updatedVersion="8" minRefreshableVersion="3" useAutoFormatting="1" subtotalHiddenItems="1" itemPrintTitles="1" createdVersion="8" indent="0" showHeaders="0" outline="1" outlineData="1" multipleFieldFilters="0" chartFormat="14">
  <location ref="E32:K37" firstHeaderRow="0" firstDataRow="1" firstDataCol="1"/>
  <pivotFields count="8">
    <pivotField dataField="1" subtotalTop="0" showAll="0" defaultSubtotal="0"/>
    <pivotField allDrilled="1" subtotalTop="0" showAll="0" defaultSubtotal="0" defaultAttributeDrillState="1">
      <items count="6">
        <item s="1" x="0"/>
        <item s="1" x="1"/>
        <item s="1" x="4"/>
        <item s="1" x="5"/>
        <item s="1" x="3"/>
        <item s="1" x="2"/>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5">
    <i>
      <x/>
    </i>
    <i>
      <x v="1"/>
    </i>
    <i>
      <x v="2"/>
    </i>
    <i>
      <x v="3"/>
    </i>
    <i t="grand">
      <x/>
    </i>
  </rowItems>
  <colFields count="1">
    <field x="-2"/>
  </colFields>
  <colItems count="6">
    <i>
      <x/>
    </i>
    <i i="1">
      <x v="1"/>
    </i>
    <i i="2">
      <x v="2"/>
    </i>
    <i i="3">
      <x v="3"/>
    </i>
    <i i="4">
      <x v="4"/>
    </i>
    <i i="5">
      <x v="5"/>
    </i>
  </colItems>
  <dataFields count="6">
    <dataField name="Registered Voters" fld="3" baseField="0" baseItem="0"/>
    <dataField name="Total Votes Cast" fld="0" baseField="0" baseItem="0"/>
    <dataField name="Average Voters Turn up Rate" fld="4" subtotal="average" baseField="2" baseItem="3" numFmtId="164"/>
    <dataField name="Party A Vote" fld="5" baseField="0" baseItem="0"/>
    <dataField name="Party B Votes" fld="6" baseField="0" baseItem="0"/>
    <dataField name="Party C Votes" fld="7" baseField="0" baseItem="0"/>
  </dataFields>
  <formats count="3">
    <format dxfId="1">
      <pivotArea outline="0" collapsedLevelsAreSubtotals="1" fieldPosition="0">
        <references count="1">
          <reference field="4294967294" count="1" selected="0">
            <x v="2"/>
          </reference>
        </references>
      </pivotArea>
    </format>
    <format dxfId="2">
      <pivotArea dataOnly="0" grandRow="1" fieldPosition="0"/>
    </format>
    <format dxfId="3">
      <pivotArea dataOnly="0" grandRow="1" fieldPosition="0"/>
    </format>
  </formats>
  <chartFormats count="4">
    <chartFormat chart="0" format="0"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1"/>
          </reference>
        </references>
      </pivotArea>
    </chartFormat>
  </chartFormats>
  <pivotHierarchies count="33">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Votes Cast"/>
    <pivotHierarchy dragToData="1" caption="Party B Votes"/>
    <pivotHierarchy dragToData="1" caption="Party A Vote"/>
    <pivotHierarchy dragToData="1" caption="Party C Votes"/>
    <pivotHierarchy dragToData="1"/>
    <pivotHierarchy dragToData="1"/>
    <pivotHierarchy dragToData="1"/>
    <pivotHierarchy dragToData="1"/>
    <pivotHierarchy dragToData="1"/>
    <pivotHierarchy dragToData="1" caption="Registered Voters"/>
    <pivotHierarchy dragToData="1"/>
    <pivotHierarchy dragToData="1"/>
    <pivotHierarchy dragToData="1"/>
    <pivotHierarchy dragToData="1"/>
    <pivotHierarchy dragToData="1" caption="Average Voters Turn up Rate"/>
    <pivotHierarchy dragToData="1"/>
    <pivotHierarchy dragToData="1"/>
  </pivotHierarchies>
  <pivotTableStyleInfo name="PivotStyleMedium5"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EC Election 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6</v>
    <v>8</v>
    <v>611</v>
    <v>7</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GA" xr10:uid="{17C98F50-550B-465B-927F-F5020FD1A055}" sourceName="[Table1].[LGA]">
  <pivotTables>
    <pivotTable tabId="9" name="PivotTable10"/>
    <pivotTable tabId="9" name="PivotTable11"/>
    <pivotTable tabId="9" name="PivotTable12"/>
    <pivotTable tabId="9" name="PivotTable6"/>
    <pivotTable tabId="9" name="PivotTable7"/>
    <pivotTable tabId="9" name="PivotTable8"/>
    <pivotTable tabId="9" name="PivotTable9"/>
  </pivotTables>
  <data>
    <olap pivotCacheId="385088448">
      <levels count="2">
        <level uniqueName="[Table1].[LGA].[(All)]" sourceCaption="(All)" count="0"/>
        <level uniqueName="[Table1].[LGA].[LGA]" sourceCaption="LGA" count="8">
          <ranges>
            <range startItem="0">
              <i n="[Table1].[LGA].&amp;[AMAC]" c="AMAC"/>
              <i n="[Table1].[LGA].&amp;[Bwari]" c="Bwari"/>
              <i n="[Table1].[LGA].&amp;[Eti-Osa]" c="Eti-Osa"/>
              <i n="[Table1].[LGA].&amp;[Fagge]" c="Fagge"/>
              <i n="[Table1].[LGA].&amp;[Nassarawa]" c="Nassarawa"/>
              <i n="[Table1].[LGA].&amp;[Obio/Akpor]" c="Obio/Akpor"/>
              <i n="[Table1].[LGA].&amp;[Port Harcourt]" c="Port Harcourt"/>
              <i n="[Table1].[LGA].&amp;[Surulere]" c="Surulere"/>
            </range>
          </ranges>
        </level>
      </levels>
      <selections count="1">
        <selection n="[Table1].[LGA].&amp;[Bwari]"/>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B3381E39-C49B-4DA1-AC85-9358C5AF9451}" sourceName="[Table1].[State]">
  <pivotTables>
    <pivotTable tabId="9" name="PivotTable10"/>
    <pivotTable tabId="9" name="PivotTable11"/>
    <pivotTable tabId="9" name="PivotTable12"/>
    <pivotTable tabId="9" name="PivotTable13"/>
    <pivotTable tabId="9" name="PivotTable14"/>
    <pivotTable tabId="9" name="PivotTable3"/>
    <pivotTable tabId="9" name="PivotTable4"/>
    <pivotTable tabId="9" name="PivotTable5"/>
    <pivotTable tabId="9" name="PivotTable6"/>
    <pivotTable tabId="9" name="PivotTable7"/>
    <pivotTable tabId="9" name="PivotTable8"/>
    <pivotTable tabId="9" name="PivotTable9"/>
    <pivotTable tabId="9" name="PivotTable15"/>
    <pivotTable tabId="9" name="PivotTable16"/>
    <pivotTable tabId="9" name="PivotTable18"/>
    <pivotTable tabId="11" name="PivotTable19"/>
  </pivotTables>
  <data>
    <olap pivotCacheId="385088448">
      <levels count="2">
        <level uniqueName="[Table1].[State].[(All)]" sourceCaption="(All)" count="0"/>
        <level uniqueName="[Table1].[State].[State]" sourceCaption="State" count="4">
          <ranges>
            <range startItem="0">
              <i n="[Table1].[State].&amp;[Abuja]" c="Abuja"/>
              <i n="[Table1].[State].&amp;[Kano]" c="Kano"/>
              <i n="[Table1].[State].&amp;[Lagos]" c="Lagos"/>
              <i n="[Table1].[State].&amp;[Rivers]" c="Rivers"/>
            </range>
          </ranges>
        </level>
      </levels>
      <selections count="1">
        <selection n="[Table1].[St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GA" xr10:uid="{12B850D4-BE2F-4288-9B17-31C0471BC841}" cache="Slicer_LGA" caption="LGA" columnCount="8" level="1" style="Slicer Style 2" lockedPosition="1" rowHeight="209550"/>
  <slicer name="State" xr10:uid="{726A781C-4D22-4AEC-BA15-7E593117E0FC}" cache="Slicer_State" caption="State" columnCount="5" level="1" style="Slicer Style 2" lockedPosition="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7B610D-336E-4DF8-978F-D7C2DA609143}" name="Table1" displayName="Table1" ref="A1:N803" totalsRowShown="0" headerRowDxfId="9">
  <autoFilter ref="A1:N803" xr:uid="{00000000-0001-0000-0000-000000000000}"/>
  <tableColumns count="14">
    <tableColumn id="1" xr3:uid="{B387F423-014B-4790-9F60-55C6F3B15611}" name="PollingUnitID" dataDxfId="8"/>
    <tableColumn id="2" xr3:uid="{7212F853-8C2E-4E9B-BAEF-28460EB526AA}" name="State"/>
    <tableColumn id="3" xr3:uid="{EE043DC6-DA77-4B40-B3BB-2DACB2158D34}" name="LGA"/>
    <tableColumn id="4" xr3:uid="{074CC556-8356-4E92-B61D-42384442A2CF}" name="Ward"/>
    <tableColumn id="5" xr3:uid="{85A886FF-9B62-4394-80EA-751BCB6BE98F}" name="RegisteredVoters"/>
    <tableColumn id="6" xr3:uid="{96B609CD-30D2-4E78-BEA8-AF030847AC4E}" name="PartyAVotes"/>
    <tableColumn id="7" xr3:uid="{BF60EA14-0E8F-4DC6-BE61-7D239685A25D}" name="PartyBVotes"/>
    <tableColumn id="8" xr3:uid="{DF0F2EE4-F688-4F53-A13B-4D0ED4B7A954}" name="PartyCVotes"/>
    <tableColumn id="9" xr3:uid="{F4C6D9BD-9072-4E1E-968D-B1064F404B14}" name="TotalVotesCast"/>
    <tableColumn id="10" xr3:uid="{0C7A5258-9B73-4566-B05D-75747C8C336B}" name="Party A shares %" dataCellStyle="Percent">
      <calculatedColumnFormula>Table1[[#This Row],[PartyAVotes]]/Table1[[#This Row],[RegisteredVoters]]</calculatedColumnFormula>
    </tableColumn>
    <tableColumn id="11" xr3:uid="{B7381FAE-727F-4EDF-81A1-C0A7AE9D3B7D}" name="Party B Shares %" dataCellStyle="Percent">
      <calculatedColumnFormula>Table1[[#This Row],[PartyBVotes]]/Table1[[#This Row],[RegisteredVoters]]</calculatedColumnFormula>
    </tableColumn>
    <tableColumn id="12" xr3:uid="{5F1DBBCF-E539-47A0-884F-EDF120CDF36B}" name="Party C Shares %" dataCellStyle="Percent">
      <calculatedColumnFormula>Table1[[#This Row],[PartyCVotes]]/Table1[[#This Row],[RegisteredVoters]]</calculatedColumnFormula>
    </tableColumn>
    <tableColumn id="13" xr3:uid="{1988C35D-5212-440C-83AA-3514A7767BFB}" name="AB Vote Disparity" dataDxfId="7">
      <calculatedColumnFormula>ABS(Table1[[#This Row],[PartyAVotes]]-Table1[[#This Row],[PartyBVotes]])</calculatedColumnFormula>
    </tableColumn>
    <tableColumn id="14" xr3:uid="{4E2B6878-0277-4EB4-9C9B-BC8EA239FDB0}" name="Voters Turn up Rate" dataDxfId="6" dataCellStyle="Percent">
      <calculatedColumnFormula>Table1[[#This Row],[TotalVotesCast]]/Table1[[#This Row],[RegisteredVoters]]</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896B-D05F-4F1A-BBB5-5E7848C33799}">
  <sheetPr codeName="Sheet3">
    <tabColor theme="2" tint="-0.499984740745262"/>
  </sheetPr>
  <dimension ref="A1:Q67"/>
  <sheetViews>
    <sheetView showGridLines="0" showRowColHeaders="0" tabSelected="1" zoomScale="88" zoomScaleNormal="88" workbookViewId="0"/>
  </sheetViews>
  <sheetFormatPr defaultColWidth="0" defaultRowHeight="13.2" customHeight="1" zeroHeight="1"/>
  <cols>
    <col min="1" max="4" width="8.88671875" customWidth="1"/>
    <col min="5" max="5" width="19.44140625" bestFit="1" customWidth="1"/>
    <col min="6" max="6" width="22.77734375" bestFit="1" customWidth="1"/>
    <col min="7" max="7" width="21.109375" bestFit="1" customWidth="1"/>
    <col min="8" max="8" width="34.88671875" bestFit="1" customWidth="1"/>
    <col min="9" max="9" width="16.5546875" bestFit="1" customWidth="1"/>
    <col min="10" max="11" width="17.77734375" bestFit="1" customWidth="1"/>
    <col min="12" max="17" width="8.88671875" customWidth="1"/>
    <col min="18" max="16384" width="8.8867187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sheetData>
  <sheetProtection algorithmName="SHA-512" hashValue="jxVNFeRjdPcZsXc8MJpiw4wS0ikXq9QuD0RWrWqE5/vUdRgCN5XGWWDdPJwyOxjn+S4aFlnSF84o4c68KpCm2g==" saltValue="v623sC1UpPVWDNvSofW64Q==" spinCount="100000" sheet="1" objects="1" scenarios="1" select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BFC58-83B2-4E86-9899-12E023446ABA}">
  <sheetPr codeName="Sheet2"/>
  <dimension ref="A3:H53"/>
  <sheetViews>
    <sheetView zoomScale="88" workbookViewId="0"/>
  </sheetViews>
  <sheetFormatPr defaultRowHeight="13.2"/>
  <cols>
    <col min="1" max="1" width="13.77734375" bestFit="1" customWidth="1"/>
    <col min="2" max="2" width="21.5546875" bestFit="1" customWidth="1"/>
    <col min="3" max="3" width="18.88671875" bestFit="1" customWidth="1"/>
    <col min="4" max="4" width="13.77734375" bestFit="1" customWidth="1"/>
    <col min="5" max="5" width="23.44140625" bestFit="1" customWidth="1"/>
    <col min="6" max="7" width="23.5546875" bestFit="1" customWidth="1"/>
    <col min="8" max="8" width="21.5546875" bestFit="1" customWidth="1"/>
    <col min="9" max="10" width="13.21875" bestFit="1" customWidth="1"/>
    <col min="11" max="103" width="16.21875" bestFit="1" customWidth="1"/>
    <col min="104" max="104" width="11.33203125" bestFit="1" customWidth="1"/>
    <col min="105" max="209" width="16.21875" bestFit="1" customWidth="1"/>
    <col min="210" max="210" width="11.33203125" bestFit="1" customWidth="1"/>
    <col min="211" max="306" width="16.21875" bestFit="1" customWidth="1"/>
    <col min="307" max="307" width="11.33203125" bestFit="1" customWidth="1"/>
  </cols>
  <sheetData>
    <row r="3" spans="1:8">
      <c r="A3" s="9" t="s">
        <v>938</v>
      </c>
      <c r="B3" t="s">
        <v>940</v>
      </c>
      <c r="D3" s="9" t="s">
        <v>938</v>
      </c>
      <c r="E3" t="s">
        <v>940</v>
      </c>
      <c r="G3" s="9" t="s">
        <v>938</v>
      </c>
      <c r="H3" t="s">
        <v>940</v>
      </c>
    </row>
    <row r="4" spans="1:8">
      <c r="A4" s="10" t="s">
        <v>21</v>
      </c>
      <c r="B4" s="38">
        <v>236960</v>
      </c>
      <c r="D4" s="10" t="s">
        <v>14</v>
      </c>
      <c r="E4">
        <v>69035</v>
      </c>
      <c r="G4" s="10" t="s">
        <v>819</v>
      </c>
      <c r="H4">
        <v>8825</v>
      </c>
    </row>
    <row r="5" spans="1:8">
      <c r="A5" s="10" t="s">
        <v>15</v>
      </c>
      <c r="B5" s="38">
        <v>169940</v>
      </c>
      <c r="D5" s="10" t="s">
        <v>17</v>
      </c>
      <c r="E5">
        <v>74915</v>
      </c>
      <c r="G5" s="10" t="s">
        <v>810</v>
      </c>
      <c r="H5">
        <v>8745</v>
      </c>
    </row>
    <row r="6" spans="1:8">
      <c r="A6" s="10" t="s">
        <v>10</v>
      </c>
      <c r="B6" s="38">
        <v>133644</v>
      </c>
      <c r="D6" s="10" t="s">
        <v>16</v>
      </c>
      <c r="E6">
        <v>95025</v>
      </c>
      <c r="G6" s="10" t="s">
        <v>801</v>
      </c>
      <c r="H6">
        <v>8665</v>
      </c>
    </row>
    <row r="7" spans="1:8">
      <c r="A7" s="10" t="s">
        <v>18</v>
      </c>
      <c r="B7" s="38">
        <v>205260</v>
      </c>
      <c r="D7" s="10" t="s">
        <v>20</v>
      </c>
      <c r="E7">
        <v>104035</v>
      </c>
      <c r="G7" s="10" t="s">
        <v>792</v>
      </c>
      <c r="H7">
        <v>8585</v>
      </c>
    </row>
    <row r="8" spans="1:8">
      <c r="A8" s="10" t="s">
        <v>939</v>
      </c>
      <c r="B8" s="38">
        <v>745804</v>
      </c>
      <c r="D8" s="10" t="s">
        <v>23</v>
      </c>
      <c r="E8">
        <v>107045</v>
      </c>
      <c r="G8" s="10" t="s">
        <v>783</v>
      </c>
      <c r="H8">
        <v>8505</v>
      </c>
    </row>
    <row r="9" spans="1:8">
      <c r="D9" s="10" t="s">
        <v>22</v>
      </c>
      <c r="E9">
        <v>129915</v>
      </c>
      <c r="G9" s="10" t="s">
        <v>939</v>
      </c>
      <c r="H9">
        <v>43325</v>
      </c>
    </row>
    <row r="10" spans="1:8">
      <c r="D10" s="10" t="s">
        <v>939</v>
      </c>
      <c r="E10">
        <v>579970</v>
      </c>
    </row>
    <row r="11" spans="1:8">
      <c r="A11" s="9" t="s">
        <v>945</v>
      </c>
    </row>
    <row r="12" spans="1:8">
      <c r="A12" s="10" t="s">
        <v>946</v>
      </c>
      <c r="B12">
        <v>375125</v>
      </c>
    </row>
    <row r="13" spans="1:8">
      <c r="A13" s="10" t="s">
        <v>947</v>
      </c>
      <c r="B13">
        <v>356324</v>
      </c>
    </row>
    <row r="14" spans="1:8">
      <c r="A14" s="10" t="s">
        <v>948</v>
      </c>
      <c r="B14">
        <v>14355</v>
      </c>
      <c r="D14" s="9" t="s">
        <v>938</v>
      </c>
      <c r="E14" t="s">
        <v>944</v>
      </c>
      <c r="F14" t="s">
        <v>953</v>
      </c>
      <c r="G14" t="s">
        <v>954</v>
      </c>
    </row>
    <row r="15" spans="1:8">
      <c r="D15" s="10" t="s">
        <v>21</v>
      </c>
      <c r="E15">
        <v>98.566832853894979</v>
      </c>
      <c r="F15">
        <v>93.816330703389312</v>
      </c>
      <c r="G15">
        <v>3.9133223887988926</v>
      </c>
    </row>
    <row r="16" spans="1:8">
      <c r="A16" t="s">
        <v>942</v>
      </c>
      <c r="B16" t="s">
        <v>941</v>
      </c>
      <c r="C16" t="s">
        <v>943</v>
      </c>
      <c r="D16" s="10" t="s">
        <v>15</v>
      </c>
      <c r="E16">
        <v>98.711421314550265</v>
      </c>
      <c r="F16">
        <v>93.6969263486194</v>
      </c>
      <c r="G16">
        <v>3.8273179030317226</v>
      </c>
    </row>
    <row r="17" spans="1:7">
      <c r="A17">
        <v>375125</v>
      </c>
      <c r="B17">
        <v>356324</v>
      </c>
      <c r="C17">
        <v>14355</v>
      </c>
      <c r="D17" s="10" t="s">
        <v>10</v>
      </c>
      <c r="E17">
        <v>98.193676608503054</v>
      </c>
      <c r="F17">
        <v>91.971120674143464</v>
      </c>
      <c r="G17">
        <v>4.0379230089427676</v>
      </c>
    </row>
    <row r="18" spans="1:7">
      <c r="D18" s="10" t="s">
        <v>18</v>
      </c>
      <c r="E18">
        <v>99.152851728359252</v>
      </c>
      <c r="F18">
        <v>94.62709695075003</v>
      </c>
      <c r="G18">
        <v>3.5565151794286081</v>
      </c>
    </row>
    <row r="19" spans="1:7">
      <c r="B19" t="str">
        <f>IF(MAX(A17:C17)=GETPIVOTDATA("[Measures].[Sum of PartyAVotes]",$A$16), "Party A",IF(MAX(A17:C17)=GETPIVOTDATA("[Measures].[Sum of PartyBVotes]",$A$16), "Party B","Party C"))</f>
        <v>Party A</v>
      </c>
      <c r="C19" s="12">
        <f>IF(MAX(A17:C17)=GETPIVOTDATA("[Measures].[Sum of PartyAVotes]",$A$16), GETPIVOTDATA("[Measures].[Sum of PartyAVotes]",$A$16)/GETPIVOTDATA("[Measures].[Sum of TotalVotesCast]",$A$3),IF(MAX(A17:C17)=GETPIVOTDATA("[Measures].[Sum of PartyBVotes]",$A$16), GETPIVOTDATA("[Measures].[Sum of PartyBVotes]",$A$16)/GETPIVOTDATA("[Measures].[Sum of TotalVotesCast]",$A$3),GETPIVOTDATA("[Measures].[Sum of PartyCVotes]",$A$16)/GETPIVOTDATA("[Measures].[Sum of TotalVotesCast]",$A$3)))</f>
        <v>0.50298067588803497</v>
      </c>
      <c r="D19" s="10" t="s">
        <v>939</v>
      </c>
      <c r="E19">
        <v>394.6247825053087</v>
      </c>
      <c r="F19">
        <v>374.11147467690233</v>
      </c>
      <c r="G19">
        <v>15.335078480202016</v>
      </c>
    </row>
    <row r="21" spans="1:7">
      <c r="D21" s="38" t="e" vm="1">
        <v>#VALUE!</v>
      </c>
    </row>
    <row r="22" spans="1:7">
      <c r="A22" t="s">
        <v>950</v>
      </c>
    </row>
    <row r="23" spans="1:7">
      <c r="A23">
        <v>8</v>
      </c>
    </row>
    <row r="24" spans="1:7">
      <c r="B24">
        <f>$A$23</f>
        <v>8</v>
      </c>
    </row>
    <row r="26" spans="1:7">
      <c r="A26" t="s">
        <v>949</v>
      </c>
    </row>
    <row r="27" spans="1:7">
      <c r="A27">
        <v>1</v>
      </c>
    </row>
    <row r="28" spans="1:7">
      <c r="B28">
        <f>$A$27</f>
        <v>1</v>
      </c>
    </row>
    <row r="30" spans="1:7">
      <c r="A30" t="s">
        <v>951</v>
      </c>
      <c r="D30" s="9" t="s">
        <v>938</v>
      </c>
      <c r="E30" t="s">
        <v>960</v>
      </c>
    </row>
    <row r="31" spans="1:7">
      <c r="A31">
        <v>108380</v>
      </c>
      <c r="D31" s="10" t="s">
        <v>10</v>
      </c>
      <c r="E31" s="13">
        <v>4176</v>
      </c>
    </row>
    <row r="32" spans="1:7">
      <c r="B32" s="14">
        <f>GETPIVOTDATA("[Measures].[Sum of RegisteredVoters]",$A$30)</f>
        <v>108380</v>
      </c>
      <c r="D32" s="10" t="s">
        <v>21</v>
      </c>
      <c r="E32" s="13">
        <v>5700</v>
      </c>
    </row>
    <row r="33" spans="1:5">
      <c r="D33" s="10" t="s">
        <v>15</v>
      </c>
      <c r="E33" s="13">
        <v>4255</v>
      </c>
    </row>
    <row r="34" spans="1:5">
      <c r="D34" s="10" t="s">
        <v>18</v>
      </c>
      <c r="E34" s="13">
        <v>4670</v>
      </c>
    </row>
    <row r="35" spans="1:5">
      <c r="A35" t="s">
        <v>952</v>
      </c>
      <c r="D35" s="10" t="s">
        <v>939</v>
      </c>
      <c r="E35" s="13">
        <v>18801</v>
      </c>
    </row>
    <row r="36" spans="1:5">
      <c r="A36">
        <v>97</v>
      </c>
    </row>
    <row r="37" spans="1:5">
      <c r="B37" s="14">
        <f>GETPIVOTDATA("[Measures].[Count of Ward]",$A$35)</f>
        <v>97</v>
      </c>
    </row>
    <row r="39" spans="1:5">
      <c r="A39" t="s">
        <v>942</v>
      </c>
    </row>
    <row r="40" spans="1:5">
      <c r="A40">
        <v>53765</v>
      </c>
    </row>
    <row r="41" spans="1:5">
      <c r="B41" s="15">
        <f>GETPIVOTDATA("[Measures].[Sum of PartyAVotes]",$A$39)</f>
        <v>53765</v>
      </c>
    </row>
    <row r="43" spans="1:5">
      <c r="A43" t="s">
        <v>941</v>
      </c>
    </row>
    <row r="44" spans="1:5">
      <c r="A44">
        <v>51220</v>
      </c>
    </row>
    <row r="45" spans="1:5">
      <c r="B45" s="15">
        <f>GETPIVOTDATA("[Measures].[Sum of PartyBVotes]",$A$43)</f>
        <v>51220</v>
      </c>
    </row>
    <row r="47" spans="1:5">
      <c r="A47" t="s">
        <v>943</v>
      </c>
    </row>
    <row r="48" spans="1:5">
      <c r="A48">
        <v>2060</v>
      </c>
    </row>
    <row r="49" spans="1:2">
      <c r="B49" s="15">
        <f>GETPIVOTDATA("[Measures].[Sum of PartyCVotes]",$A$47)</f>
        <v>2060</v>
      </c>
    </row>
    <row r="51" spans="1:2">
      <c r="A51" t="s">
        <v>940</v>
      </c>
    </row>
    <row r="52" spans="1:2">
      <c r="A52">
        <v>107045</v>
      </c>
    </row>
    <row r="53" spans="1:2">
      <c r="B53" s="15">
        <f>GETPIVOTDATA("[Measures].[Sum of TotalVotesCast]",$A$51)</f>
        <v>107045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AEB6-856B-478F-8628-E099DB4B4178}">
  <sheetPr codeName="Sheet4">
    <tabColor rgb="FF00B050"/>
  </sheetPr>
  <dimension ref="A1:W59"/>
  <sheetViews>
    <sheetView showGridLines="0" showRowColHeaders="0" zoomScale="104" zoomScaleNormal="60" workbookViewId="0"/>
  </sheetViews>
  <sheetFormatPr defaultColWidth="0" defaultRowHeight="13.2" zeroHeight="1"/>
  <cols>
    <col min="1" max="23" width="8.88671875" customWidth="1"/>
    <col min="24" max="16384" width="8.88671875" hidden="1"/>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hidden="1"/>
    <row r="57" customFormat="1" hidden="1"/>
    <row r="58" customFormat="1" hidden="1"/>
    <row r="59" customFormat="1" hidden="1"/>
  </sheetData>
  <sheetProtection selectLockedCell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19B55-F343-4F22-8EAA-A768EEC52CD2}">
  <sheetPr codeName="Sheet5">
    <tabColor rgb="FF00B050"/>
  </sheetPr>
  <dimension ref="A1:Q39"/>
  <sheetViews>
    <sheetView showGridLines="0" showRowColHeaders="0" zoomScale="108" zoomScaleNormal="88" workbookViewId="0">
      <selection activeCell="I26" sqref="I26"/>
    </sheetView>
  </sheetViews>
  <sheetFormatPr defaultColWidth="0" defaultRowHeight="13.2" zeroHeight="1"/>
  <cols>
    <col min="1" max="4" width="8.88671875" customWidth="1"/>
    <col min="5" max="5" width="12" bestFit="1" customWidth="1"/>
    <col min="6" max="6" width="16.33203125" bestFit="1" customWidth="1"/>
    <col min="7" max="7" width="15.33203125" bestFit="1" customWidth="1"/>
    <col min="8" max="8" width="25.6640625" bestFit="1" customWidth="1"/>
    <col min="9" max="9" width="12" bestFit="1" customWidth="1"/>
    <col min="10" max="11" width="13" bestFit="1" customWidth="1"/>
    <col min="12" max="17" width="8.88671875" customWidth="1"/>
    <col min="18" max="23" width="8.88671875" hidden="1" customWidth="1"/>
    <col min="24" max="16384" width="8.88671875" hidden="1"/>
  </cols>
  <sheetData>
    <row r="1"/>
    <row r="2"/>
    <row r="3"/>
    <row r="4"/>
    <row r="5"/>
    <row r="6"/>
    <row r="7"/>
    <row r="8"/>
    <row r="9"/>
    <row r="10"/>
    <row r="11"/>
    <row r="12"/>
    <row r="13"/>
    <row r="14"/>
    <row r="15"/>
    <row r="16"/>
    <row r="17" spans="6:11"/>
    <row r="18" spans="6:11"/>
    <row r="19" spans="6:11"/>
    <row r="20" spans="6:11"/>
    <row r="21" spans="6:11"/>
    <row r="22" spans="6:11"/>
    <row r="23" spans="6:11"/>
    <row r="24" spans="6:11"/>
    <row r="25" spans="6:11"/>
    <row r="26" spans="6:11"/>
    <row r="27" spans="6:11"/>
    <row r="28" spans="6:11"/>
    <row r="29" spans="6:11"/>
    <row r="30" spans="6:11"/>
    <row r="31" spans="6:11"/>
    <row r="32" spans="6:11">
      <c r="F32" t="s">
        <v>957</v>
      </c>
      <c r="G32" t="s">
        <v>956</v>
      </c>
      <c r="H32" t="s">
        <v>958</v>
      </c>
      <c r="I32" t="s">
        <v>959</v>
      </c>
      <c r="J32" t="s">
        <v>947</v>
      </c>
      <c r="K32" t="s">
        <v>948</v>
      </c>
    </row>
    <row r="33" spans="5:11">
      <c r="E33" s="10" t="s">
        <v>21</v>
      </c>
      <c r="F33">
        <v>241530</v>
      </c>
      <c r="G33">
        <v>236960</v>
      </c>
      <c r="H33" s="16">
        <v>0.98148242973041633</v>
      </c>
      <c r="I33">
        <v>118980</v>
      </c>
      <c r="J33">
        <v>113280</v>
      </c>
      <c r="K33">
        <v>4700</v>
      </c>
    </row>
    <row r="34" spans="5:11">
      <c r="E34" s="10" t="s">
        <v>15</v>
      </c>
      <c r="F34">
        <v>173210</v>
      </c>
      <c r="G34">
        <v>169940</v>
      </c>
      <c r="H34" s="16">
        <v>0.98117832783100734</v>
      </c>
      <c r="I34">
        <v>85470</v>
      </c>
      <c r="J34">
        <v>81215</v>
      </c>
      <c r="K34">
        <v>3255</v>
      </c>
    </row>
    <row r="35" spans="5:11">
      <c r="E35" s="10" t="s">
        <v>10</v>
      </c>
      <c r="F35">
        <v>138715</v>
      </c>
      <c r="G35">
        <v>133644</v>
      </c>
      <c r="H35" s="16">
        <v>0.96139960540390812</v>
      </c>
      <c r="I35">
        <v>67545</v>
      </c>
      <c r="J35">
        <v>63369</v>
      </c>
      <c r="K35">
        <v>2730</v>
      </c>
    </row>
    <row r="36" spans="5:11">
      <c r="E36" s="10" t="s">
        <v>18</v>
      </c>
      <c r="F36">
        <v>208020</v>
      </c>
      <c r="G36">
        <v>205260</v>
      </c>
      <c r="H36" s="16">
        <v>0.98668231929268979</v>
      </c>
      <c r="I36">
        <v>103130</v>
      </c>
      <c r="J36">
        <v>98460</v>
      </c>
      <c r="K36">
        <v>3670</v>
      </c>
    </row>
    <row r="37" spans="5:11">
      <c r="E37" s="17" t="s">
        <v>939</v>
      </c>
      <c r="F37" s="19">
        <v>761475</v>
      </c>
      <c r="G37" s="19">
        <v>745804</v>
      </c>
      <c r="H37" s="18">
        <v>0.97764505693567494</v>
      </c>
      <c r="I37" s="19">
        <v>375125</v>
      </c>
      <c r="J37" s="19">
        <v>356324</v>
      </c>
      <c r="K37" s="19">
        <v>14355</v>
      </c>
    </row>
    <row r="38" spans="5:11"/>
    <row r="39" spans="5:11"/>
  </sheetData>
  <sheetProtection algorithmName="SHA-512" hashValue="HGvlKUf2T4ye9mGKqX9e++8rLLZr5J9sKTh3tGcm9slikb6GW4+0R0/+gFUA4ufROl3T9TharHlES8uZGJGVtA==" saltValue="IarMaUIUu3xYtyEtF51e2w==" spinCount="100000" sheet="1" objects="1" scenarios="1" selectLockedCells="1"/>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162BB-A170-48BD-A698-D25C1527E142}">
  <sheetPr codeName="Sheet6">
    <tabColor theme="2" tint="-0.499984740745262"/>
  </sheetPr>
  <dimension ref="A1:Q123"/>
  <sheetViews>
    <sheetView showGridLines="0" showRowColHeaders="0" zoomScale="87" zoomScaleNormal="88" workbookViewId="0">
      <selection activeCell="I12" sqref="I12"/>
    </sheetView>
  </sheetViews>
  <sheetFormatPr defaultColWidth="0" defaultRowHeight="13.2" customHeight="1" zeroHeight="1"/>
  <cols>
    <col min="1" max="4" width="8.88671875" customWidth="1"/>
    <col min="5" max="5" width="19.44140625" bestFit="1" customWidth="1"/>
    <col min="6" max="6" width="22.77734375" bestFit="1" customWidth="1"/>
    <col min="7" max="7" width="21.109375" bestFit="1" customWidth="1"/>
    <col min="8" max="8" width="34.88671875" bestFit="1" customWidth="1"/>
    <col min="9" max="9" width="16.5546875" bestFit="1" customWidth="1"/>
    <col min="10" max="11" width="17.77734375" bestFit="1" customWidth="1"/>
    <col min="12" max="17" width="8.88671875" customWidth="1"/>
    <col min="18" max="16384" width="8.8867187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ht="13.2" customHeight="1"/>
    <row r="41" ht="13.2" customHeight="1"/>
    <row r="42" ht="13.2" customHeight="1"/>
    <row r="43" ht="13.2" customHeight="1"/>
    <row r="44" ht="13.2" customHeight="1"/>
    <row r="45" ht="13.2" customHeight="1"/>
    <row r="46" ht="13.2" customHeight="1"/>
    <row r="47" ht="13.2" customHeight="1"/>
    <row r="48" ht="13.2" customHeight="1"/>
    <row r="49"/>
    <row r="50"/>
    <row r="51"/>
    <row r="52"/>
    <row r="53"/>
    <row r="54"/>
    <row r="55"/>
    <row r="56"/>
    <row r="57"/>
    <row r="58"/>
    <row r="59"/>
    <row r="60"/>
    <row r="61"/>
    <row r="62"/>
    <row r="63"/>
    <row r="64"/>
    <row r="65"/>
    <row r="66"/>
    <row r="67"/>
    <row r="68" ht="13.2" customHeight="1"/>
    <row r="69" ht="13.2" customHeight="1"/>
    <row r="70" ht="13.2" customHeight="1"/>
    <row r="71" ht="13.2" customHeight="1"/>
    <row r="72" ht="13.2" customHeight="1"/>
    <row r="73" ht="13.2" customHeight="1"/>
    <row r="74" ht="13.2" customHeight="1"/>
    <row r="75" ht="13.2" customHeight="1"/>
    <row r="76" ht="13.2" customHeight="1"/>
    <row r="77" ht="13.2" customHeight="1"/>
    <row r="78" ht="13.2" customHeight="1"/>
    <row r="79" ht="13.2" customHeight="1"/>
    <row r="80" ht="13.2" customHeight="1"/>
    <row r="81" ht="13.2" customHeight="1"/>
    <row r="82" ht="13.2" customHeight="1"/>
    <row r="83" ht="13.2" customHeight="1"/>
    <row r="84" ht="13.2" customHeight="1"/>
    <row r="85" ht="13.2" customHeight="1"/>
    <row r="86" ht="13.2" customHeight="1"/>
    <row r="87" ht="13.2" customHeight="1"/>
    <row r="88" ht="13.2" customHeight="1"/>
    <row r="89" ht="13.2" customHeight="1"/>
    <row r="90" ht="13.2" customHeight="1"/>
    <row r="91" ht="13.2" customHeight="1"/>
    <row r="92" ht="13.2" customHeight="1"/>
    <row r="93" ht="13.2" customHeight="1"/>
    <row r="94" ht="13.2" customHeight="1"/>
    <row r="95" ht="13.2" customHeight="1"/>
    <row r="96" ht="13.2" customHeight="1"/>
    <row r="97" ht="13.2" customHeight="1"/>
    <row r="98" ht="13.2" customHeight="1"/>
    <row r="99" ht="13.2" customHeight="1"/>
    <row r="100" ht="13.2" customHeight="1"/>
    <row r="101" ht="13.2" customHeight="1"/>
    <row r="102" ht="13.2" customHeight="1"/>
    <row r="103" ht="13.2" customHeight="1"/>
    <row r="104" ht="13.2" customHeight="1"/>
    <row r="105" ht="13.2" customHeight="1"/>
    <row r="106" ht="13.2" customHeight="1"/>
    <row r="107" ht="13.2" customHeight="1"/>
    <row r="108" ht="13.2" customHeight="1"/>
    <row r="109" ht="13.2" customHeight="1"/>
    <row r="110" ht="13.2" customHeight="1"/>
    <row r="111" ht="13.2" customHeight="1"/>
    <row r="112" ht="13.2" customHeight="1"/>
    <row r="113" ht="13.2" customHeight="1"/>
    <row r="114" ht="13.2" customHeight="1"/>
    <row r="115" ht="13.2" customHeight="1"/>
    <row r="116" ht="13.2" customHeight="1"/>
    <row r="117" ht="13.2" customHeight="1"/>
    <row r="118" ht="13.2" customHeight="1"/>
    <row r="119" ht="13.2" customHeight="1"/>
    <row r="120" ht="13.2" customHeight="1"/>
    <row r="121" ht="13.2" customHeight="1"/>
    <row r="122" ht="13.2" customHeight="1"/>
    <row r="123" ht="13.2" customHeight="1"/>
  </sheetData>
  <sheetProtection algorithmName="SHA-512" hashValue="p2C+LTVv3ymt/JYI/ZTEkUyHJyI9ljqjdS1WpIhy7IcF9LoxAmY1IO+7CJ8lpKfO4G1245Da9pxFiaUi3PhnOA==" saltValue="2GWZgk2cMijQBsxcfEwVNA==" spinCount="100000" sheet="1" objects="1" scenarios="1" selectLockedCell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FC5BF-8735-42E1-9558-C2BA6C26009A}">
  <sheetPr codeName="Sheet7">
    <tabColor theme="2" tint="-0.499984740745262"/>
  </sheetPr>
  <dimension ref="A1:AA1"/>
  <sheetViews>
    <sheetView showGridLines="0" showRowColHeaders="0" zoomScale="82" workbookViewId="0">
      <selection activeCell="L37" sqref="L37"/>
      <extLst>
        <ext xmlns:xlsdti="http://schemas.microsoft.com/office/spreadsheetml/2023/showDataTypeIcons" uri="{77bfe23e-c014-4d31-8a63-9c772dbf06b6}">
          <xlsdti:showDataTypeIcons visible="0"/>
        </ext>
      </extLst>
    </sheetView>
  </sheetViews>
  <sheetFormatPr defaultColWidth="0" defaultRowHeight="13.2"/>
  <cols>
    <col min="1" max="27" width="8.88671875" customWidth="1"/>
    <col min="28" max="16384" width="8.88671875" hidden="1"/>
  </cols>
  <sheetData/>
  <sheetProtection algorithmName="SHA-512" hashValue="o5b0ABLVrZ8PtU6dECwM/gwfrTm2DJWdsJAdTBvbrrqgUrr9HI0xr84OrU7rJBFCpqEjwLrYZiq6ylzncaYY3g==" saltValue="sTPudlnIU/2mOQcmMYB4Lw=="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2" tint="-0.499984740745262"/>
    <outlinePr summaryBelow="0" summaryRight="0"/>
  </sheetPr>
  <dimension ref="A1:O803"/>
  <sheetViews>
    <sheetView showGridLines="0" showRowColHeaders="0" workbookViewId="0">
      <pane ySplit="1" topLeftCell="A2" activePane="bottomLeft" state="frozen"/>
      <selection pane="bottomLeft" activeCell="O1" sqref="O1"/>
      <extLst>
        <ext xmlns:xlsdti="http://schemas.microsoft.com/office/spreadsheetml/2023/showDataTypeIcons" uri="{77bfe23e-c014-4d31-8a63-9c772dbf06b6}">
          <xlsdti:showDataTypeIcons visible="0"/>
        </ext>
      </extLst>
    </sheetView>
  </sheetViews>
  <sheetFormatPr defaultColWidth="12.77734375" defaultRowHeight="15.75" customHeight="1"/>
  <cols>
    <col min="1" max="1" width="14.44140625" bestFit="1" customWidth="1"/>
    <col min="2" max="2" width="7.77734375" bestFit="1" customWidth="1"/>
    <col min="3" max="3" width="11.88671875" bestFit="1" customWidth="1"/>
    <col min="4" max="4" width="9.33203125" bestFit="1" customWidth="1"/>
    <col min="5" max="5" width="18.5546875" bestFit="1" customWidth="1"/>
    <col min="6" max="6" width="14.109375" bestFit="1" customWidth="1"/>
    <col min="7" max="8" width="14.21875" bestFit="1" customWidth="1"/>
    <col min="9" max="9" width="16.6640625" bestFit="1" customWidth="1"/>
    <col min="10" max="12" width="12.77734375" style="8"/>
    <col min="14" max="14" width="21.21875" bestFit="1" customWidth="1"/>
  </cols>
  <sheetData>
    <row r="1" spans="1:15" ht="13.2">
      <c r="A1" s="6" t="s">
        <v>0</v>
      </c>
      <c r="B1" s="2" t="s">
        <v>1</v>
      </c>
      <c r="C1" s="2" t="s">
        <v>2</v>
      </c>
      <c r="D1" s="2" t="s">
        <v>3</v>
      </c>
      <c r="E1" s="2" t="s">
        <v>4</v>
      </c>
      <c r="F1" s="2" t="s">
        <v>5</v>
      </c>
      <c r="G1" s="2" t="s">
        <v>6</v>
      </c>
      <c r="H1" s="2" t="s">
        <v>7</v>
      </c>
      <c r="I1" s="2" t="s">
        <v>8</v>
      </c>
      <c r="J1" s="7" t="s">
        <v>934</v>
      </c>
      <c r="K1" s="7" t="s">
        <v>935</v>
      </c>
      <c r="L1" s="7" t="s">
        <v>936</v>
      </c>
      <c r="M1" s="2" t="s">
        <v>937</v>
      </c>
      <c r="N1" s="2" t="s">
        <v>955</v>
      </c>
      <c r="O1" s="3"/>
    </row>
    <row r="2" spans="1:15" ht="13.2">
      <c r="A2" s="1" t="s">
        <v>9</v>
      </c>
      <c r="B2" t="s">
        <v>10</v>
      </c>
      <c r="C2" t="s">
        <v>11</v>
      </c>
      <c r="D2" t="s">
        <v>12</v>
      </c>
      <c r="E2">
        <v>500</v>
      </c>
      <c r="F2">
        <v>245</v>
      </c>
      <c r="G2">
        <v>189</v>
      </c>
      <c r="H2">
        <v>55</v>
      </c>
      <c r="I2">
        <v>489</v>
      </c>
      <c r="J2" s="8">
        <f>Table1[[#This Row],[PartyAVotes]]/Table1[[#This Row],[RegisteredVoters]]</f>
        <v>0.49</v>
      </c>
      <c r="K2" s="8">
        <f>Table1[[#This Row],[PartyBVotes]]/Table1[[#This Row],[RegisteredVoters]]</f>
        <v>0.378</v>
      </c>
      <c r="L2" s="8">
        <f>Table1[[#This Row],[PartyCVotes]]/Table1[[#This Row],[RegisteredVoters]]</f>
        <v>0.11</v>
      </c>
      <c r="M2">
        <f>ABS(Table1[[#This Row],[PartyAVotes]]-Table1[[#This Row],[PartyBVotes]])</f>
        <v>56</v>
      </c>
      <c r="N2" s="11">
        <f>Table1[[#This Row],[TotalVotesCast]]/Table1[[#This Row],[RegisteredVoters]]</f>
        <v>0.97799999999999998</v>
      </c>
    </row>
    <row r="3" spans="1:15" ht="13.2">
      <c r="A3" s="1" t="s">
        <v>13</v>
      </c>
      <c r="B3" t="s">
        <v>10</v>
      </c>
      <c r="C3" t="s">
        <v>11</v>
      </c>
      <c r="D3" t="s">
        <v>12</v>
      </c>
      <c r="E3">
        <v>475</v>
      </c>
      <c r="F3">
        <v>0</v>
      </c>
      <c r="G3">
        <v>0</v>
      </c>
      <c r="H3">
        <v>0</v>
      </c>
      <c r="I3">
        <v>0</v>
      </c>
      <c r="J3" s="8">
        <f>Table1[[#This Row],[PartyAVotes]]/Table1[[#This Row],[RegisteredVoters]]</f>
        <v>0</v>
      </c>
      <c r="K3" s="8">
        <f>Table1[[#This Row],[PartyBVotes]]/Table1[[#This Row],[RegisteredVoters]]</f>
        <v>0</v>
      </c>
      <c r="L3" s="8">
        <f>Table1[[#This Row],[PartyCVotes]]/Table1[[#This Row],[RegisteredVoters]]</f>
        <v>0</v>
      </c>
      <c r="M3">
        <f>ABS(Table1[[#This Row],[PartyAVotes]]-Table1[[#This Row],[PartyBVotes]])</f>
        <v>0</v>
      </c>
      <c r="N3" s="11">
        <f>Table1[[#This Row],[TotalVotesCast]]/Table1[[#This Row],[RegisteredVoters]]</f>
        <v>0</v>
      </c>
    </row>
    <row r="4" spans="1:15" ht="13.2">
      <c r="A4" s="1" t="s">
        <v>30</v>
      </c>
      <c r="B4" t="s">
        <v>10</v>
      </c>
      <c r="C4" t="s">
        <v>11</v>
      </c>
      <c r="D4" t="s">
        <v>25</v>
      </c>
      <c r="E4">
        <v>530</v>
      </c>
      <c r="F4">
        <v>260</v>
      </c>
      <c r="G4">
        <v>240</v>
      </c>
      <c r="H4">
        <v>15</v>
      </c>
      <c r="I4">
        <v>515</v>
      </c>
      <c r="J4" s="8">
        <f>Table1[[#This Row],[PartyAVotes]]/Table1[[#This Row],[RegisteredVoters]]</f>
        <v>0.49056603773584906</v>
      </c>
      <c r="K4" s="8">
        <f>Table1[[#This Row],[PartyBVotes]]/Table1[[#This Row],[RegisteredVoters]]</f>
        <v>0.45283018867924529</v>
      </c>
      <c r="L4" s="8">
        <f>Table1[[#This Row],[PartyCVotes]]/Table1[[#This Row],[RegisteredVoters]]</f>
        <v>2.8301886792452831E-2</v>
      </c>
      <c r="M4">
        <f>ABS(Table1[[#This Row],[PartyAVotes]]-Table1[[#This Row],[PartyBVotes]])</f>
        <v>20</v>
      </c>
      <c r="N4" s="11">
        <f>Table1[[#This Row],[TotalVotesCast]]/Table1[[#This Row],[RegisteredVoters]]</f>
        <v>0.97169811320754718</v>
      </c>
    </row>
    <row r="5" spans="1:15" ht="13.2">
      <c r="A5" s="1" t="s">
        <v>31</v>
      </c>
      <c r="B5" t="s">
        <v>15</v>
      </c>
      <c r="C5" t="s">
        <v>16</v>
      </c>
      <c r="D5" t="s">
        <v>26</v>
      </c>
      <c r="E5">
        <v>810</v>
      </c>
      <c r="F5">
        <v>400</v>
      </c>
      <c r="G5">
        <v>370</v>
      </c>
      <c r="H5">
        <v>25</v>
      </c>
      <c r="I5">
        <v>795</v>
      </c>
      <c r="J5" s="8">
        <f>Table1[[#This Row],[PartyAVotes]]/Table1[[#This Row],[RegisteredVoters]]</f>
        <v>0.49382716049382713</v>
      </c>
      <c r="K5" s="8">
        <f>Table1[[#This Row],[PartyBVotes]]/Table1[[#This Row],[RegisteredVoters]]</f>
        <v>0.4567901234567901</v>
      </c>
      <c r="L5" s="8">
        <f>Table1[[#This Row],[PartyCVotes]]/Table1[[#This Row],[RegisteredVoters]]</f>
        <v>3.0864197530864196E-2</v>
      </c>
      <c r="M5">
        <f>ABS(Table1[[#This Row],[PartyAVotes]]-Table1[[#This Row],[PartyBVotes]])</f>
        <v>30</v>
      </c>
      <c r="N5" s="11">
        <f>Table1[[#This Row],[TotalVotesCast]]/Table1[[#This Row],[RegisteredVoters]]</f>
        <v>0.98148148148148151</v>
      </c>
      <c r="O5" t="str">
        <f>IF(Table1[[#This Row],[RegisteredVoters]]=Table1[[#This Row],[TotalVotesCast]],"Match","")</f>
        <v/>
      </c>
    </row>
    <row r="6" spans="1:15" ht="13.2">
      <c r="A6" s="1" t="s">
        <v>32</v>
      </c>
      <c r="B6" t="s">
        <v>18</v>
      </c>
      <c r="C6" t="s">
        <v>20</v>
      </c>
      <c r="D6" t="s">
        <v>33</v>
      </c>
      <c r="E6">
        <v>890</v>
      </c>
      <c r="F6">
        <v>440</v>
      </c>
      <c r="G6">
        <v>415</v>
      </c>
      <c r="H6">
        <v>20</v>
      </c>
      <c r="I6">
        <v>875</v>
      </c>
      <c r="J6" s="8">
        <f>Table1[[#This Row],[PartyAVotes]]/Table1[[#This Row],[RegisteredVoters]]</f>
        <v>0.4943820224719101</v>
      </c>
      <c r="K6" s="8">
        <f>Table1[[#This Row],[PartyBVotes]]/Table1[[#This Row],[RegisteredVoters]]</f>
        <v>0.46629213483146065</v>
      </c>
      <c r="L6" s="8">
        <f>Table1[[#This Row],[PartyCVotes]]/Table1[[#This Row],[RegisteredVoters]]</f>
        <v>2.247191011235955E-2</v>
      </c>
      <c r="M6">
        <f>ABS(Table1[[#This Row],[PartyAVotes]]-Table1[[#This Row],[PartyBVotes]])</f>
        <v>25</v>
      </c>
      <c r="N6" s="11">
        <f>Table1[[#This Row],[TotalVotesCast]]/Table1[[#This Row],[RegisteredVoters]]</f>
        <v>0.9831460674157303</v>
      </c>
      <c r="O6" t="str">
        <f>IF(Table1[[#This Row],[RegisteredVoters]]=Table1[[#This Row],[TotalVotesCast]],"Match","")</f>
        <v/>
      </c>
    </row>
    <row r="7" spans="1:15" ht="13.2">
      <c r="A7" s="1" t="s">
        <v>34</v>
      </c>
      <c r="B7" t="s">
        <v>21</v>
      </c>
      <c r="C7" t="s">
        <v>22</v>
      </c>
      <c r="D7" t="s">
        <v>25</v>
      </c>
      <c r="E7">
        <v>1180</v>
      </c>
      <c r="F7">
        <v>580</v>
      </c>
      <c r="G7">
        <v>545</v>
      </c>
      <c r="H7">
        <v>30</v>
      </c>
      <c r="I7">
        <v>1155</v>
      </c>
      <c r="J7" s="8">
        <f>Table1[[#This Row],[PartyAVotes]]/Table1[[#This Row],[RegisteredVoters]]</f>
        <v>0.49152542372881358</v>
      </c>
      <c r="K7" s="8">
        <f>Table1[[#This Row],[PartyBVotes]]/Table1[[#This Row],[RegisteredVoters]]</f>
        <v>0.46186440677966101</v>
      </c>
      <c r="L7" s="8">
        <f>Table1[[#This Row],[PartyCVotes]]/Table1[[#This Row],[RegisteredVoters]]</f>
        <v>2.5423728813559324E-2</v>
      </c>
      <c r="M7">
        <f>ABS(Table1[[#This Row],[PartyAVotes]]-Table1[[#This Row],[PartyBVotes]])</f>
        <v>35</v>
      </c>
      <c r="N7" s="11">
        <f>Table1[[#This Row],[TotalVotesCast]]/Table1[[#This Row],[RegisteredVoters]]</f>
        <v>0.97881355932203384</v>
      </c>
      <c r="O7" t="str">
        <f>IF(Table1[[#This Row],[RegisteredVoters]]=Table1[[#This Row],[TotalVotesCast]],"Match","")</f>
        <v/>
      </c>
    </row>
    <row r="8" spans="1:15" ht="13.2">
      <c r="A8" s="1" t="s">
        <v>35</v>
      </c>
      <c r="B8" t="s">
        <v>10</v>
      </c>
      <c r="C8" t="s">
        <v>14</v>
      </c>
      <c r="D8" t="s">
        <v>26</v>
      </c>
      <c r="E8">
        <v>620</v>
      </c>
      <c r="F8">
        <v>310</v>
      </c>
      <c r="G8">
        <v>280</v>
      </c>
      <c r="H8">
        <v>20</v>
      </c>
      <c r="I8">
        <v>610</v>
      </c>
      <c r="J8" s="8">
        <f>Table1[[#This Row],[PartyAVotes]]/Table1[[#This Row],[RegisteredVoters]]</f>
        <v>0.5</v>
      </c>
      <c r="K8" s="8">
        <f>Table1[[#This Row],[PartyBVotes]]/Table1[[#This Row],[RegisteredVoters]]</f>
        <v>0.45161290322580644</v>
      </c>
      <c r="L8" s="8">
        <f>Table1[[#This Row],[PartyCVotes]]/Table1[[#This Row],[RegisteredVoters]]</f>
        <v>3.2258064516129031E-2</v>
      </c>
      <c r="M8">
        <f>ABS(Table1[[#This Row],[PartyAVotes]]-Table1[[#This Row],[PartyBVotes]])</f>
        <v>30</v>
      </c>
      <c r="N8" s="11">
        <f>Table1[[#This Row],[TotalVotesCast]]/Table1[[#This Row],[RegisteredVoters]]</f>
        <v>0.9838709677419355</v>
      </c>
      <c r="O8" t="str">
        <f>IF(Table1[[#This Row],[RegisteredVoters]]=Table1[[#This Row],[TotalVotesCast]],"Match","")</f>
        <v/>
      </c>
    </row>
    <row r="9" spans="1:15" ht="13.2">
      <c r="A9" s="1" t="s">
        <v>36</v>
      </c>
      <c r="B9" t="s">
        <v>15</v>
      </c>
      <c r="C9" t="s">
        <v>17</v>
      </c>
      <c r="D9" t="s">
        <v>24</v>
      </c>
      <c r="E9">
        <v>680</v>
      </c>
      <c r="F9">
        <v>340</v>
      </c>
      <c r="G9">
        <v>315</v>
      </c>
      <c r="H9">
        <v>20</v>
      </c>
      <c r="I9">
        <v>675</v>
      </c>
      <c r="J9" s="8">
        <f>Table1[[#This Row],[PartyAVotes]]/Table1[[#This Row],[RegisteredVoters]]</f>
        <v>0.5</v>
      </c>
      <c r="K9" s="8">
        <f>Table1[[#This Row],[PartyBVotes]]/Table1[[#This Row],[RegisteredVoters]]</f>
        <v>0.46323529411764708</v>
      </c>
      <c r="L9" s="8">
        <f>Table1[[#This Row],[PartyCVotes]]/Table1[[#This Row],[RegisteredVoters]]</f>
        <v>2.9411764705882353E-2</v>
      </c>
      <c r="M9">
        <f>ABS(Table1[[#This Row],[PartyAVotes]]-Table1[[#This Row],[PartyBVotes]])</f>
        <v>25</v>
      </c>
      <c r="N9" s="11">
        <f>Table1[[#This Row],[TotalVotesCast]]/Table1[[#This Row],[RegisteredVoters]]</f>
        <v>0.99264705882352944</v>
      </c>
      <c r="O9" t="str">
        <f>IF(Table1[[#This Row],[RegisteredVoters]]=Table1[[#This Row],[TotalVotesCast]],"Match","")</f>
        <v/>
      </c>
    </row>
    <row r="10" spans="1:15" ht="13.2">
      <c r="A10" s="1" t="s">
        <v>37</v>
      </c>
      <c r="B10" t="s">
        <v>18</v>
      </c>
      <c r="C10" t="s">
        <v>19</v>
      </c>
      <c r="D10" t="s">
        <v>27</v>
      </c>
      <c r="E10">
        <v>960</v>
      </c>
      <c r="F10">
        <v>480</v>
      </c>
      <c r="G10">
        <v>445</v>
      </c>
      <c r="H10">
        <v>30</v>
      </c>
      <c r="I10">
        <v>955</v>
      </c>
      <c r="J10" s="8">
        <f>Table1[[#This Row],[PartyAVotes]]/Table1[[#This Row],[RegisteredVoters]]</f>
        <v>0.5</v>
      </c>
      <c r="K10" s="8">
        <f>Table1[[#This Row],[PartyBVotes]]/Table1[[#This Row],[RegisteredVoters]]</f>
        <v>0.46354166666666669</v>
      </c>
      <c r="L10" s="8">
        <f>Table1[[#This Row],[PartyCVotes]]/Table1[[#This Row],[RegisteredVoters]]</f>
        <v>3.125E-2</v>
      </c>
      <c r="M10">
        <f>ABS(Table1[[#This Row],[PartyAVotes]]-Table1[[#This Row],[PartyBVotes]])</f>
        <v>35</v>
      </c>
      <c r="N10" s="11">
        <f>Table1[[#This Row],[TotalVotesCast]]/Table1[[#This Row],[RegisteredVoters]]</f>
        <v>0.99479166666666663</v>
      </c>
      <c r="O10" t="str">
        <f>IF(Table1[[#This Row],[RegisteredVoters]]=Table1[[#This Row],[TotalVotesCast]],"Match","")</f>
        <v/>
      </c>
    </row>
    <row r="11" spans="1:15" ht="13.2">
      <c r="A11" s="1" t="s">
        <v>38</v>
      </c>
      <c r="B11" t="s">
        <v>21</v>
      </c>
      <c r="C11" t="s">
        <v>23</v>
      </c>
      <c r="D11" t="s">
        <v>25</v>
      </c>
      <c r="E11">
        <v>1020</v>
      </c>
      <c r="F11">
        <v>510</v>
      </c>
      <c r="G11">
        <v>475</v>
      </c>
      <c r="H11">
        <v>30</v>
      </c>
      <c r="I11">
        <v>1015</v>
      </c>
      <c r="J11" s="8">
        <f>Table1[[#This Row],[PartyAVotes]]/Table1[[#This Row],[RegisteredVoters]]</f>
        <v>0.5</v>
      </c>
      <c r="K11" s="8">
        <f>Table1[[#This Row],[PartyBVotes]]/Table1[[#This Row],[RegisteredVoters]]</f>
        <v>0.46568627450980393</v>
      </c>
      <c r="L11" s="8">
        <f>Table1[[#This Row],[PartyCVotes]]/Table1[[#This Row],[RegisteredVoters]]</f>
        <v>2.9411764705882353E-2</v>
      </c>
      <c r="M11">
        <f>ABS(Table1[[#This Row],[PartyAVotes]]-Table1[[#This Row],[PartyBVotes]])</f>
        <v>35</v>
      </c>
      <c r="N11" s="11">
        <f>Table1[[#This Row],[TotalVotesCast]]/Table1[[#This Row],[RegisteredVoters]]</f>
        <v>0.99509803921568629</v>
      </c>
      <c r="O11" t="str">
        <f>IF(Table1[[#This Row],[RegisteredVoters]]=Table1[[#This Row],[TotalVotesCast]],"Match","")</f>
        <v/>
      </c>
    </row>
    <row r="12" spans="1:15" ht="13.2">
      <c r="A12" s="1" t="s">
        <v>39</v>
      </c>
      <c r="B12" t="s">
        <v>10</v>
      </c>
      <c r="C12" t="s">
        <v>11</v>
      </c>
      <c r="D12" t="s">
        <v>26</v>
      </c>
      <c r="E12">
        <v>560</v>
      </c>
      <c r="F12">
        <v>280</v>
      </c>
      <c r="G12">
        <v>260</v>
      </c>
      <c r="H12">
        <v>15</v>
      </c>
      <c r="I12">
        <v>555</v>
      </c>
      <c r="J12" s="8">
        <f>Table1[[#This Row],[PartyAVotes]]/Table1[[#This Row],[RegisteredVoters]]</f>
        <v>0.5</v>
      </c>
      <c r="K12" s="8">
        <f>Table1[[#This Row],[PartyBVotes]]/Table1[[#This Row],[RegisteredVoters]]</f>
        <v>0.4642857142857143</v>
      </c>
      <c r="L12" s="8">
        <f>Table1[[#This Row],[PartyCVotes]]/Table1[[#This Row],[RegisteredVoters]]</f>
        <v>2.6785714285714284E-2</v>
      </c>
      <c r="M12">
        <f>ABS(Table1[[#This Row],[PartyAVotes]]-Table1[[#This Row],[PartyBVotes]])</f>
        <v>20</v>
      </c>
      <c r="N12" s="11">
        <f>Table1[[#This Row],[TotalVotesCast]]/Table1[[#This Row],[RegisteredVoters]]</f>
        <v>0.9910714285714286</v>
      </c>
      <c r="O12" t="str">
        <f>IF(Table1[[#This Row],[RegisteredVoters]]=Table1[[#This Row],[TotalVotesCast]],"Match","")</f>
        <v/>
      </c>
    </row>
    <row r="13" spans="1:15" ht="13.2">
      <c r="A13" s="1" t="s">
        <v>40</v>
      </c>
      <c r="B13" t="s">
        <v>15</v>
      </c>
      <c r="C13" t="s">
        <v>16</v>
      </c>
      <c r="D13" t="s">
        <v>27</v>
      </c>
      <c r="E13">
        <v>830</v>
      </c>
      <c r="F13">
        <v>415</v>
      </c>
      <c r="G13">
        <v>385</v>
      </c>
      <c r="H13">
        <v>25</v>
      </c>
      <c r="I13">
        <v>825</v>
      </c>
      <c r="J13" s="8">
        <f>Table1[[#This Row],[PartyAVotes]]/Table1[[#This Row],[RegisteredVoters]]</f>
        <v>0.5</v>
      </c>
      <c r="K13" s="8">
        <f>Table1[[#This Row],[PartyBVotes]]/Table1[[#This Row],[RegisteredVoters]]</f>
        <v>0.46385542168674698</v>
      </c>
      <c r="L13" s="8">
        <f>Table1[[#This Row],[PartyCVotes]]/Table1[[#This Row],[RegisteredVoters]]</f>
        <v>3.0120481927710843E-2</v>
      </c>
      <c r="M13">
        <f>ABS(Table1[[#This Row],[PartyAVotes]]-Table1[[#This Row],[PartyBVotes]])</f>
        <v>30</v>
      </c>
      <c r="N13" s="11">
        <f>Table1[[#This Row],[TotalVotesCast]]/Table1[[#This Row],[RegisteredVoters]]</f>
        <v>0.99397590361445787</v>
      </c>
      <c r="O13" t="str">
        <f>IF(Table1[[#This Row],[RegisteredVoters]]=Table1[[#This Row],[TotalVotesCast]],"Match","")</f>
        <v/>
      </c>
    </row>
    <row r="14" spans="1:15" ht="13.2">
      <c r="A14" s="1" t="s">
        <v>41</v>
      </c>
      <c r="B14" t="s">
        <v>18</v>
      </c>
      <c r="C14" t="s">
        <v>20</v>
      </c>
      <c r="D14" t="s">
        <v>42</v>
      </c>
      <c r="E14">
        <v>900</v>
      </c>
      <c r="F14">
        <v>450</v>
      </c>
      <c r="G14">
        <v>425</v>
      </c>
      <c r="H14">
        <v>20</v>
      </c>
      <c r="I14">
        <v>895</v>
      </c>
      <c r="J14" s="8">
        <f>Table1[[#This Row],[PartyAVotes]]/Table1[[#This Row],[RegisteredVoters]]</f>
        <v>0.5</v>
      </c>
      <c r="K14" s="8">
        <f>Table1[[#This Row],[PartyBVotes]]/Table1[[#This Row],[RegisteredVoters]]</f>
        <v>0.47222222222222221</v>
      </c>
      <c r="L14" s="8">
        <f>Table1[[#This Row],[PartyCVotes]]/Table1[[#This Row],[RegisteredVoters]]</f>
        <v>2.2222222222222223E-2</v>
      </c>
      <c r="M14">
        <f>ABS(Table1[[#This Row],[PartyAVotes]]-Table1[[#This Row],[PartyBVotes]])</f>
        <v>25</v>
      </c>
      <c r="N14" s="11">
        <f>Table1[[#This Row],[TotalVotesCast]]/Table1[[#This Row],[RegisteredVoters]]</f>
        <v>0.99444444444444446</v>
      </c>
      <c r="O14" t="str">
        <f>IF(Table1[[#This Row],[RegisteredVoters]]=Table1[[#This Row],[TotalVotesCast]],"Match","")</f>
        <v/>
      </c>
    </row>
    <row r="15" spans="1:15" ht="13.2">
      <c r="A15" s="1" t="s">
        <v>43</v>
      </c>
      <c r="B15" t="s">
        <v>21</v>
      </c>
      <c r="C15" t="s">
        <v>22</v>
      </c>
      <c r="D15" t="s">
        <v>26</v>
      </c>
      <c r="E15">
        <v>1190</v>
      </c>
      <c r="F15">
        <v>595</v>
      </c>
      <c r="G15">
        <v>560</v>
      </c>
      <c r="H15">
        <v>30</v>
      </c>
      <c r="I15">
        <v>1185</v>
      </c>
      <c r="J15" s="8">
        <f>Table1[[#This Row],[PartyAVotes]]/Table1[[#This Row],[RegisteredVoters]]</f>
        <v>0.5</v>
      </c>
      <c r="K15" s="8">
        <f>Table1[[#This Row],[PartyBVotes]]/Table1[[#This Row],[RegisteredVoters]]</f>
        <v>0.47058823529411764</v>
      </c>
      <c r="L15" s="8">
        <f>Table1[[#This Row],[PartyCVotes]]/Table1[[#This Row],[RegisteredVoters]]</f>
        <v>2.5210084033613446E-2</v>
      </c>
      <c r="M15">
        <f>ABS(Table1[[#This Row],[PartyAVotes]]-Table1[[#This Row],[PartyBVotes]])</f>
        <v>35</v>
      </c>
      <c r="N15" s="11">
        <f>Table1[[#This Row],[TotalVotesCast]]/Table1[[#This Row],[RegisteredVoters]]</f>
        <v>0.99579831932773111</v>
      </c>
      <c r="O15" t="str">
        <f>IF(Table1[[#This Row],[RegisteredVoters]]=Table1[[#This Row],[TotalVotesCast]],"Match","")</f>
        <v/>
      </c>
    </row>
    <row r="16" spans="1:15" ht="13.2">
      <c r="A16" s="1" t="s">
        <v>44</v>
      </c>
      <c r="B16" t="s">
        <v>10</v>
      </c>
      <c r="C16" t="s">
        <v>14</v>
      </c>
      <c r="D16" t="s">
        <v>27</v>
      </c>
      <c r="E16">
        <v>630</v>
      </c>
      <c r="F16">
        <v>315</v>
      </c>
      <c r="G16">
        <v>285</v>
      </c>
      <c r="H16">
        <v>20</v>
      </c>
      <c r="I16">
        <v>620</v>
      </c>
      <c r="J16" s="8">
        <f>Table1[[#This Row],[PartyAVotes]]/Table1[[#This Row],[RegisteredVoters]]</f>
        <v>0.5</v>
      </c>
      <c r="K16" s="8">
        <f>Table1[[#This Row],[PartyBVotes]]/Table1[[#This Row],[RegisteredVoters]]</f>
        <v>0.45238095238095238</v>
      </c>
      <c r="L16" s="8">
        <f>Table1[[#This Row],[PartyCVotes]]/Table1[[#This Row],[RegisteredVoters]]</f>
        <v>3.1746031746031744E-2</v>
      </c>
      <c r="M16">
        <f>ABS(Table1[[#This Row],[PartyAVotes]]-Table1[[#This Row],[PartyBVotes]])</f>
        <v>30</v>
      </c>
      <c r="N16" s="11">
        <f>Table1[[#This Row],[TotalVotesCast]]/Table1[[#This Row],[RegisteredVoters]]</f>
        <v>0.98412698412698407</v>
      </c>
      <c r="O16" t="str">
        <f>IF(Table1[[#This Row],[RegisteredVoters]]=Table1[[#This Row],[TotalVotesCast]],"Match","")</f>
        <v/>
      </c>
    </row>
    <row r="17" spans="1:15" ht="13.2">
      <c r="A17" s="1" t="s">
        <v>45</v>
      </c>
      <c r="B17" t="s">
        <v>15</v>
      </c>
      <c r="C17" t="s">
        <v>17</v>
      </c>
      <c r="D17" t="s">
        <v>25</v>
      </c>
      <c r="E17">
        <v>690</v>
      </c>
      <c r="F17">
        <v>345</v>
      </c>
      <c r="G17">
        <v>320</v>
      </c>
      <c r="H17">
        <v>20</v>
      </c>
      <c r="I17">
        <v>685</v>
      </c>
      <c r="J17" s="8">
        <f>Table1[[#This Row],[PartyAVotes]]/Table1[[#This Row],[RegisteredVoters]]</f>
        <v>0.5</v>
      </c>
      <c r="K17" s="8">
        <f>Table1[[#This Row],[PartyBVotes]]/Table1[[#This Row],[RegisteredVoters]]</f>
        <v>0.46376811594202899</v>
      </c>
      <c r="L17" s="8">
        <f>Table1[[#This Row],[PartyCVotes]]/Table1[[#This Row],[RegisteredVoters]]</f>
        <v>2.8985507246376812E-2</v>
      </c>
      <c r="M17">
        <f>ABS(Table1[[#This Row],[PartyAVotes]]-Table1[[#This Row],[PartyBVotes]])</f>
        <v>25</v>
      </c>
      <c r="N17" s="11">
        <f>Table1[[#This Row],[TotalVotesCast]]/Table1[[#This Row],[RegisteredVoters]]</f>
        <v>0.99275362318840576</v>
      </c>
      <c r="O17" t="str">
        <f>IF(Table1[[#This Row],[RegisteredVoters]]=Table1[[#This Row],[TotalVotesCast]],"Match","")</f>
        <v/>
      </c>
    </row>
    <row r="18" spans="1:15" ht="13.2">
      <c r="A18" s="1" t="s">
        <v>46</v>
      </c>
      <c r="B18" t="s">
        <v>18</v>
      </c>
      <c r="C18" t="s">
        <v>19</v>
      </c>
      <c r="D18" t="s">
        <v>28</v>
      </c>
      <c r="E18">
        <v>970</v>
      </c>
      <c r="F18">
        <v>485</v>
      </c>
      <c r="G18">
        <v>450</v>
      </c>
      <c r="H18">
        <v>30</v>
      </c>
      <c r="I18">
        <v>965</v>
      </c>
      <c r="J18" s="8">
        <f>Table1[[#This Row],[PartyAVotes]]/Table1[[#This Row],[RegisteredVoters]]</f>
        <v>0.5</v>
      </c>
      <c r="K18" s="8">
        <f>Table1[[#This Row],[PartyBVotes]]/Table1[[#This Row],[RegisteredVoters]]</f>
        <v>0.46391752577319589</v>
      </c>
      <c r="L18" s="8">
        <f>Table1[[#This Row],[PartyCVotes]]/Table1[[#This Row],[RegisteredVoters]]</f>
        <v>3.0927835051546393E-2</v>
      </c>
      <c r="M18">
        <f>ABS(Table1[[#This Row],[PartyAVotes]]-Table1[[#This Row],[PartyBVotes]])</f>
        <v>35</v>
      </c>
      <c r="N18" s="11">
        <f>Table1[[#This Row],[TotalVotesCast]]/Table1[[#This Row],[RegisteredVoters]]</f>
        <v>0.99484536082474229</v>
      </c>
      <c r="O18" t="str">
        <f>IF(Table1[[#This Row],[RegisteredVoters]]=Table1[[#This Row],[TotalVotesCast]],"Match","")</f>
        <v/>
      </c>
    </row>
    <row r="19" spans="1:15" ht="13.2">
      <c r="A19" s="1" t="s">
        <v>47</v>
      </c>
      <c r="B19" t="s">
        <v>21</v>
      </c>
      <c r="C19" t="s">
        <v>23</v>
      </c>
      <c r="D19" t="s">
        <v>26</v>
      </c>
      <c r="E19">
        <v>1030</v>
      </c>
      <c r="F19">
        <v>515</v>
      </c>
      <c r="G19">
        <v>480</v>
      </c>
      <c r="H19">
        <v>30</v>
      </c>
      <c r="I19">
        <v>1025</v>
      </c>
      <c r="J19" s="8">
        <f>Table1[[#This Row],[PartyAVotes]]/Table1[[#This Row],[RegisteredVoters]]</f>
        <v>0.5</v>
      </c>
      <c r="K19" s="8">
        <f>Table1[[#This Row],[PartyBVotes]]/Table1[[#This Row],[RegisteredVoters]]</f>
        <v>0.46601941747572817</v>
      </c>
      <c r="L19" s="8">
        <f>Table1[[#This Row],[PartyCVotes]]/Table1[[#This Row],[RegisteredVoters]]</f>
        <v>2.9126213592233011E-2</v>
      </c>
      <c r="M19">
        <f>ABS(Table1[[#This Row],[PartyAVotes]]-Table1[[#This Row],[PartyBVotes]])</f>
        <v>35</v>
      </c>
      <c r="N19" s="11">
        <f>Table1[[#This Row],[TotalVotesCast]]/Table1[[#This Row],[RegisteredVoters]]</f>
        <v>0.99514563106796117</v>
      </c>
      <c r="O19" t="str">
        <f>IF(Table1[[#This Row],[RegisteredVoters]]=Table1[[#This Row],[TotalVotesCast]],"Match","")</f>
        <v/>
      </c>
    </row>
    <row r="20" spans="1:15" ht="13.2">
      <c r="A20" s="1" t="s">
        <v>48</v>
      </c>
      <c r="B20" t="s">
        <v>10</v>
      </c>
      <c r="C20" t="s">
        <v>11</v>
      </c>
      <c r="D20" t="s">
        <v>28</v>
      </c>
      <c r="E20">
        <v>570</v>
      </c>
      <c r="F20">
        <v>285</v>
      </c>
      <c r="G20">
        <v>265</v>
      </c>
      <c r="H20">
        <v>15</v>
      </c>
      <c r="I20">
        <v>565</v>
      </c>
      <c r="J20" s="8">
        <f>Table1[[#This Row],[PartyAVotes]]/Table1[[#This Row],[RegisteredVoters]]</f>
        <v>0.5</v>
      </c>
      <c r="K20" s="8">
        <f>Table1[[#This Row],[PartyBVotes]]/Table1[[#This Row],[RegisteredVoters]]</f>
        <v>0.46491228070175439</v>
      </c>
      <c r="L20" s="8">
        <f>Table1[[#This Row],[PartyCVotes]]/Table1[[#This Row],[RegisteredVoters]]</f>
        <v>2.6315789473684209E-2</v>
      </c>
      <c r="M20">
        <f>ABS(Table1[[#This Row],[PartyAVotes]]-Table1[[#This Row],[PartyBVotes]])</f>
        <v>20</v>
      </c>
      <c r="N20" s="11">
        <f>Table1[[#This Row],[TotalVotesCast]]/Table1[[#This Row],[RegisteredVoters]]</f>
        <v>0.99122807017543857</v>
      </c>
      <c r="O20" t="str">
        <f>IF(Table1[[#This Row],[RegisteredVoters]]=Table1[[#This Row],[TotalVotesCast]],"Match","")</f>
        <v/>
      </c>
    </row>
    <row r="21" spans="1:15" ht="13.2">
      <c r="A21" s="1" t="s">
        <v>49</v>
      </c>
      <c r="B21" t="s">
        <v>15</v>
      </c>
      <c r="C21" t="s">
        <v>16</v>
      </c>
      <c r="D21" t="s">
        <v>28</v>
      </c>
      <c r="E21">
        <v>840</v>
      </c>
      <c r="F21">
        <v>420</v>
      </c>
      <c r="G21">
        <v>390</v>
      </c>
      <c r="H21">
        <v>25</v>
      </c>
      <c r="I21">
        <v>835</v>
      </c>
      <c r="J21" s="8">
        <f>Table1[[#This Row],[PartyAVotes]]/Table1[[#This Row],[RegisteredVoters]]</f>
        <v>0.5</v>
      </c>
      <c r="K21" s="8">
        <f>Table1[[#This Row],[PartyBVotes]]/Table1[[#This Row],[RegisteredVoters]]</f>
        <v>0.4642857142857143</v>
      </c>
      <c r="L21" s="8">
        <f>Table1[[#This Row],[PartyCVotes]]/Table1[[#This Row],[RegisteredVoters]]</f>
        <v>2.976190476190476E-2</v>
      </c>
      <c r="M21">
        <f>ABS(Table1[[#This Row],[PartyAVotes]]-Table1[[#This Row],[PartyBVotes]])</f>
        <v>30</v>
      </c>
      <c r="N21" s="11">
        <f>Table1[[#This Row],[TotalVotesCast]]/Table1[[#This Row],[RegisteredVoters]]</f>
        <v>0.99404761904761907</v>
      </c>
      <c r="O21" t="str">
        <f>IF(Table1[[#This Row],[RegisteredVoters]]=Table1[[#This Row],[TotalVotesCast]],"Match","")</f>
        <v/>
      </c>
    </row>
    <row r="22" spans="1:15" ht="13.2">
      <c r="A22" s="1" t="s">
        <v>50</v>
      </c>
      <c r="B22" t="s">
        <v>18</v>
      </c>
      <c r="C22" t="s">
        <v>20</v>
      </c>
      <c r="D22" t="s">
        <v>51</v>
      </c>
      <c r="E22">
        <v>910</v>
      </c>
      <c r="F22">
        <v>455</v>
      </c>
      <c r="G22">
        <v>430</v>
      </c>
      <c r="H22">
        <v>20</v>
      </c>
      <c r="I22">
        <v>905</v>
      </c>
      <c r="J22" s="8">
        <f>Table1[[#This Row],[PartyAVotes]]/Table1[[#This Row],[RegisteredVoters]]</f>
        <v>0.5</v>
      </c>
      <c r="K22" s="8">
        <f>Table1[[#This Row],[PartyBVotes]]/Table1[[#This Row],[RegisteredVoters]]</f>
        <v>0.47252747252747251</v>
      </c>
      <c r="L22" s="8">
        <f>Table1[[#This Row],[PartyCVotes]]/Table1[[#This Row],[RegisteredVoters]]</f>
        <v>2.197802197802198E-2</v>
      </c>
      <c r="M22">
        <f>ABS(Table1[[#This Row],[PartyAVotes]]-Table1[[#This Row],[PartyBVotes]])</f>
        <v>25</v>
      </c>
      <c r="N22" s="11">
        <f>Table1[[#This Row],[TotalVotesCast]]/Table1[[#This Row],[RegisteredVoters]]</f>
        <v>0.99450549450549453</v>
      </c>
      <c r="O22" t="str">
        <f>IF(Table1[[#This Row],[RegisteredVoters]]=Table1[[#This Row],[TotalVotesCast]],"Match","")</f>
        <v/>
      </c>
    </row>
    <row r="23" spans="1:15" ht="13.2">
      <c r="A23" s="1" t="s">
        <v>52</v>
      </c>
      <c r="B23" t="s">
        <v>21</v>
      </c>
      <c r="C23" t="s">
        <v>22</v>
      </c>
      <c r="D23" t="s">
        <v>27</v>
      </c>
      <c r="E23">
        <v>1200</v>
      </c>
      <c r="F23">
        <v>600</v>
      </c>
      <c r="G23">
        <v>565</v>
      </c>
      <c r="H23">
        <v>30</v>
      </c>
      <c r="I23">
        <v>1195</v>
      </c>
      <c r="J23" s="8">
        <f>Table1[[#This Row],[PartyAVotes]]/Table1[[#This Row],[RegisteredVoters]]</f>
        <v>0.5</v>
      </c>
      <c r="K23" s="8">
        <f>Table1[[#This Row],[PartyBVotes]]/Table1[[#This Row],[RegisteredVoters]]</f>
        <v>0.47083333333333333</v>
      </c>
      <c r="L23" s="8">
        <f>Table1[[#This Row],[PartyCVotes]]/Table1[[#This Row],[RegisteredVoters]]</f>
        <v>2.5000000000000001E-2</v>
      </c>
      <c r="M23">
        <f>ABS(Table1[[#This Row],[PartyAVotes]]-Table1[[#This Row],[PartyBVotes]])</f>
        <v>35</v>
      </c>
      <c r="N23" s="11">
        <f>Table1[[#This Row],[TotalVotesCast]]/Table1[[#This Row],[RegisteredVoters]]</f>
        <v>0.99583333333333335</v>
      </c>
      <c r="O23" t="str">
        <f>IF(Table1[[#This Row],[RegisteredVoters]]=Table1[[#This Row],[TotalVotesCast]],"Match","")</f>
        <v/>
      </c>
    </row>
    <row r="24" spans="1:15" ht="13.2">
      <c r="A24" s="1" t="s">
        <v>53</v>
      </c>
      <c r="B24" t="s">
        <v>10</v>
      </c>
      <c r="C24" t="s">
        <v>14</v>
      </c>
      <c r="D24" t="s">
        <v>28</v>
      </c>
      <c r="E24">
        <v>640</v>
      </c>
      <c r="F24">
        <v>320</v>
      </c>
      <c r="G24">
        <v>290</v>
      </c>
      <c r="H24">
        <v>20</v>
      </c>
      <c r="I24">
        <v>630</v>
      </c>
      <c r="J24" s="8">
        <f>Table1[[#This Row],[PartyAVotes]]/Table1[[#This Row],[RegisteredVoters]]</f>
        <v>0.5</v>
      </c>
      <c r="K24" s="8">
        <f>Table1[[#This Row],[PartyBVotes]]/Table1[[#This Row],[RegisteredVoters]]</f>
        <v>0.453125</v>
      </c>
      <c r="L24" s="8">
        <f>Table1[[#This Row],[PartyCVotes]]/Table1[[#This Row],[RegisteredVoters]]</f>
        <v>3.125E-2</v>
      </c>
      <c r="M24">
        <f>ABS(Table1[[#This Row],[PartyAVotes]]-Table1[[#This Row],[PartyBVotes]])</f>
        <v>30</v>
      </c>
      <c r="N24" s="11">
        <f>Table1[[#This Row],[TotalVotesCast]]/Table1[[#This Row],[RegisteredVoters]]</f>
        <v>0.984375</v>
      </c>
      <c r="O24" t="str">
        <f>IF(Table1[[#This Row],[RegisteredVoters]]=Table1[[#This Row],[TotalVotesCast]],"Match","")</f>
        <v/>
      </c>
    </row>
    <row r="25" spans="1:15" ht="13.2">
      <c r="A25" s="1" t="s">
        <v>54</v>
      </c>
      <c r="B25" t="s">
        <v>15</v>
      </c>
      <c r="C25" t="s">
        <v>17</v>
      </c>
      <c r="D25" t="s">
        <v>26</v>
      </c>
      <c r="E25">
        <v>700</v>
      </c>
      <c r="F25">
        <v>350</v>
      </c>
      <c r="G25">
        <v>325</v>
      </c>
      <c r="H25">
        <v>20</v>
      </c>
      <c r="I25">
        <v>695</v>
      </c>
      <c r="J25" s="8">
        <f>Table1[[#This Row],[PartyAVotes]]/Table1[[#This Row],[RegisteredVoters]]</f>
        <v>0.5</v>
      </c>
      <c r="K25" s="8">
        <f>Table1[[#This Row],[PartyBVotes]]/Table1[[#This Row],[RegisteredVoters]]</f>
        <v>0.4642857142857143</v>
      </c>
      <c r="L25" s="8">
        <f>Table1[[#This Row],[PartyCVotes]]/Table1[[#This Row],[RegisteredVoters]]</f>
        <v>2.8571428571428571E-2</v>
      </c>
      <c r="M25">
        <f>ABS(Table1[[#This Row],[PartyAVotes]]-Table1[[#This Row],[PartyBVotes]])</f>
        <v>25</v>
      </c>
      <c r="N25" s="11">
        <f>Table1[[#This Row],[TotalVotesCast]]/Table1[[#This Row],[RegisteredVoters]]</f>
        <v>0.99285714285714288</v>
      </c>
      <c r="O25" t="str">
        <f>IF(Table1[[#This Row],[RegisteredVoters]]=Table1[[#This Row],[TotalVotesCast]],"Match","")</f>
        <v/>
      </c>
    </row>
    <row r="26" spans="1:15" ht="13.2">
      <c r="A26" s="1" t="s">
        <v>55</v>
      </c>
      <c r="B26" t="s">
        <v>18</v>
      </c>
      <c r="C26" t="s">
        <v>19</v>
      </c>
      <c r="D26" t="s">
        <v>29</v>
      </c>
      <c r="E26">
        <v>980</v>
      </c>
      <c r="F26">
        <v>490</v>
      </c>
      <c r="G26">
        <v>455</v>
      </c>
      <c r="H26">
        <v>30</v>
      </c>
      <c r="I26">
        <v>975</v>
      </c>
      <c r="J26" s="8">
        <f>Table1[[#This Row],[PartyAVotes]]/Table1[[#This Row],[RegisteredVoters]]</f>
        <v>0.5</v>
      </c>
      <c r="K26" s="8">
        <f>Table1[[#This Row],[PartyBVotes]]/Table1[[#This Row],[RegisteredVoters]]</f>
        <v>0.4642857142857143</v>
      </c>
      <c r="L26" s="8">
        <f>Table1[[#This Row],[PartyCVotes]]/Table1[[#This Row],[RegisteredVoters]]</f>
        <v>3.0612244897959183E-2</v>
      </c>
      <c r="M26">
        <f>ABS(Table1[[#This Row],[PartyAVotes]]-Table1[[#This Row],[PartyBVotes]])</f>
        <v>35</v>
      </c>
      <c r="N26" s="11">
        <f>Table1[[#This Row],[TotalVotesCast]]/Table1[[#This Row],[RegisteredVoters]]</f>
        <v>0.99489795918367352</v>
      </c>
      <c r="O26" t="str">
        <f>IF(Table1[[#This Row],[RegisteredVoters]]=Table1[[#This Row],[TotalVotesCast]],"Match","")</f>
        <v/>
      </c>
    </row>
    <row r="27" spans="1:15" ht="13.2">
      <c r="A27" s="1" t="s">
        <v>56</v>
      </c>
      <c r="B27" t="s">
        <v>21</v>
      </c>
      <c r="C27" t="s">
        <v>23</v>
      </c>
      <c r="D27" t="s">
        <v>27</v>
      </c>
      <c r="E27">
        <v>1040</v>
      </c>
      <c r="F27">
        <v>520</v>
      </c>
      <c r="G27">
        <v>485</v>
      </c>
      <c r="H27">
        <v>30</v>
      </c>
      <c r="I27">
        <v>1035</v>
      </c>
      <c r="J27" s="8">
        <f>Table1[[#This Row],[PartyAVotes]]/Table1[[#This Row],[RegisteredVoters]]</f>
        <v>0.5</v>
      </c>
      <c r="K27" s="8">
        <f>Table1[[#This Row],[PartyBVotes]]/Table1[[#This Row],[RegisteredVoters]]</f>
        <v>0.46634615384615385</v>
      </c>
      <c r="L27" s="8">
        <f>Table1[[#This Row],[PartyCVotes]]/Table1[[#This Row],[RegisteredVoters]]</f>
        <v>2.8846153846153848E-2</v>
      </c>
      <c r="M27">
        <f>ABS(Table1[[#This Row],[PartyAVotes]]-Table1[[#This Row],[PartyBVotes]])</f>
        <v>35</v>
      </c>
      <c r="N27" s="11">
        <f>Table1[[#This Row],[TotalVotesCast]]/Table1[[#This Row],[RegisteredVoters]]</f>
        <v>0.99519230769230771</v>
      </c>
      <c r="O27" t="str">
        <f>IF(Table1[[#This Row],[RegisteredVoters]]=Table1[[#This Row],[TotalVotesCast]],"Match","")</f>
        <v/>
      </c>
    </row>
    <row r="28" spans="1:15" ht="13.2">
      <c r="A28" s="1" t="s">
        <v>57</v>
      </c>
      <c r="B28" t="s">
        <v>10</v>
      </c>
      <c r="C28" t="s">
        <v>11</v>
      </c>
      <c r="D28" t="s">
        <v>29</v>
      </c>
      <c r="E28">
        <v>580</v>
      </c>
      <c r="F28">
        <v>290</v>
      </c>
      <c r="G28">
        <v>270</v>
      </c>
      <c r="H28">
        <v>15</v>
      </c>
      <c r="I28">
        <v>575</v>
      </c>
      <c r="J28" s="8">
        <f>Table1[[#This Row],[PartyAVotes]]/Table1[[#This Row],[RegisteredVoters]]</f>
        <v>0.5</v>
      </c>
      <c r="K28" s="8">
        <f>Table1[[#This Row],[PartyBVotes]]/Table1[[#This Row],[RegisteredVoters]]</f>
        <v>0.46551724137931033</v>
      </c>
      <c r="L28" s="8">
        <f>Table1[[#This Row],[PartyCVotes]]/Table1[[#This Row],[RegisteredVoters]]</f>
        <v>2.5862068965517241E-2</v>
      </c>
      <c r="M28">
        <f>ABS(Table1[[#This Row],[PartyAVotes]]-Table1[[#This Row],[PartyBVotes]])</f>
        <v>20</v>
      </c>
      <c r="N28" s="11">
        <f>Table1[[#This Row],[TotalVotesCast]]/Table1[[#This Row],[RegisteredVoters]]</f>
        <v>0.99137931034482762</v>
      </c>
      <c r="O28" t="str">
        <f>IF(Table1[[#This Row],[RegisteredVoters]]=Table1[[#This Row],[TotalVotesCast]],"Match","")</f>
        <v/>
      </c>
    </row>
    <row r="29" spans="1:15" ht="13.2">
      <c r="A29" s="1" t="s">
        <v>58</v>
      </c>
      <c r="B29" t="s">
        <v>15</v>
      </c>
      <c r="C29" t="s">
        <v>16</v>
      </c>
      <c r="D29" t="s">
        <v>29</v>
      </c>
      <c r="E29">
        <v>850</v>
      </c>
      <c r="F29">
        <v>425</v>
      </c>
      <c r="G29">
        <v>395</v>
      </c>
      <c r="H29">
        <v>25</v>
      </c>
      <c r="I29">
        <v>845</v>
      </c>
      <c r="J29" s="8">
        <f>Table1[[#This Row],[PartyAVotes]]/Table1[[#This Row],[RegisteredVoters]]</f>
        <v>0.5</v>
      </c>
      <c r="K29" s="8">
        <f>Table1[[#This Row],[PartyBVotes]]/Table1[[#This Row],[RegisteredVoters]]</f>
        <v>0.46470588235294119</v>
      </c>
      <c r="L29" s="8">
        <f>Table1[[#This Row],[PartyCVotes]]/Table1[[#This Row],[RegisteredVoters]]</f>
        <v>2.9411764705882353E-2</v>
      </c>
      <c r="M29">
        <f>ABS(Table1[[#This Row],[PartyAVotes]]-Table1[[#This Row],[PartyBVotes]])</f>
        <v>30</v>
      </c>
      <c r="N29" s="11">
        <f>Table1[[#This Row],[TotalVotesCast]]/Table1[[#This Row],[RegisteredVoters]]</f>
        <v>0.99411764705882355</v>
      </c>
      <c r="O29" t="str">
        <f>IF(Table1[[#This Row],[RegisteredVoters]]=Table1[[#This Row],[TotalVotesCast]],"Match","")</f>
        <v/>
      </c>
    </row>
    <row r="30" spans="1:15" ht="13.2">
      <c r="A30" s="1" t="s">
        <v>59</v>
      </c>
      <c r="B30" t="s">
        <v>18</v>
      </c>
      <c r="C30" t="s">
        <v>20</v>
      </c>
      <c r="D30" t="s">
        <v>60</v>
      </c>
      <c r="E30">
        <v>920</v>
      </c>
      <c r="F30">
        <v>460</v>
      </c>
      <c r="G30">
        <v>435</v>
      </c>
      <c r="H30">
        <v>20</v>
      </c>
      <c r="I30">
        <v>915</v>
      </c>
      <c r="J30" s="8">
        <f>Table1[[#This Row],[PartyAVotes]]/Table1[[#This Row],[RegisteredVoters]]</f>
        <v>0.5</v>
      </c>
      <c r="K30" s="8">
        <f>Table1[[#This Row],[PartyBVotes]]/Table1[[#This Row],[RegisteredVoters]]</f>
        <v>0.47282608695652173</v>
      </c>
      <c r="L30" s="8">
        <f>Table1[[#This Row],[PartyCVotes]]/Table1[[#This Row],[RegisteredVoters]]</f>
        <v>2.1739130434782608E-2</v>
      </c>
      <c r="M30">
        <f>ABS(Table1[[#This Row],[PartyAVotes]]-Table1[[#This Row],[PartyBVotes]])</f>
        <v>25</v>
      </c>
      <c r="N30" s="11">
        <f>Table1[[#This Row],[TotalVotesCast]]/Table1[[#This Row],[RegisteredVoters]]</f>
        <v>0.99456521739130432</v>
      </c>
      <c r="O30" t="str">
        <f>IF(Table1[[#This Row],[RegisteredVoters]]=Table1[[#This Row],[TotalVotesCast]],"Match","")</f>
        <v/>
      </c>
    </row>
    <row r="31" spans="1:15" ht="13.2">
      <c r="A31" s="1" t="s">
        <v>61</v>
      </c>
      <c r="B31" t="s">
        <v>21</v>
      </c>
      <c r="C31" t="s">
        <v>22</v>
      </c>
      <c r="D31" t="s">
        <v>28</v>
      </c>
      <c r="E31">
        <v>1210</v>
      </c>
      <c r="F31">
        <v>605</v>
      </c>
      <c r="G31">
        <v>570</v>
      </c>
      <c r="H31">
        <v>30</v>
      </c>
      <c r="I31">
        <v>1205</v>
      </c>
      <c r="J31" s="8">
        <f>Table1[[#This Row],[PartyAVotes]]/Table1[[#This Row],[RegisteredVoters]]</f>
        <v>0.5</v>
      </c>
      <c r="K31" s="8">
        <f>Table1[[#This Row],[PartyBVotes]]/Table1[[#This Row],[RegisteredVoters]]</f>
        <v>0.47107438016528924</v>
      </c>
      <c r="L31" s="8">
        <f>Table1[[#This Row],[PartyCVotes]]/Table1[[#This Row],[RegisteredVoters]]</f>
        <v>2.4793388429752067E-2</v>
      </c>
      <c r="M31">
        <f>ABS(Table1[[#This Row],[PartyAVotes]]-Table1[[#This Row],[PartyBVotes]])</f>
        <v>35</v>
      </c>
      <c r="N31" s="11">
        <f>Table1[[#This Row],[TotalVotesCast]]/Table1[[#This Row],[RegisteredVoters]]</f>
        <v>0.99586776859504134</v>
      </c>
      <c r="O31" t="str">
        <f>IF(Table1[[#This Row],[RegisteredVoters]]=Table1[[#This Row],[TotalVotesCast]],"Match","")</f>
        <v/>
      </c>
    </row>
    <row r="32" spans="1:15" ht="13.2">
      <c r="A32" s="1" t="s">
        <v>62</v>
      </c>
      <c r="B32" t="s">
        <v>10</v>
      </c>
      <c r="C32" t="s">
        <v>14</v>
      </c>
      <c r="D32" t="s">
        <v>29</v>
      </c>
      <c r="E32">
        <v>650</v>
      </c>
      <c r="F32">
        <v>325</v>
      </c>
      <c r="G32">
        <v>295</v>
      </c>
      <c r="H32">
        <v>20</v>
      </c>
      <c r="I32">
        <v>640</v>
      </c>
      <c r="J32" s="8">
        <f>Table1[[#This Row],[PartyAVotes]]/Table1[[#This Row],[RegisteredVoters]]</f>
        <v>0.5</v>
      </c>
      <c r="K32" s="8">
        <f>Table1[[#This Row],[PartyBVotes]]/Table1[[#This Row],[RegisteredVoters]]</f>
        <v>0.45384615384615384</v>
      </c>
      <c r="L32" s="8">
        <f>Table1[[#This Row],[PartyCVotes]]/Table1[[#This Row],[RegisteredVoters]]</f>
        <v>3.0769230769230771E-2</v>
      </c>
      <c r="M32">
        <f>ABS(Table1[[#This Row],[PartyAVotes]]-Table1[[#This Row],[PartyBVotes]])</f>
        <v>30</v>
      </c>
      <c r="N32" s="11">
        <f>Table1[[#This Row],[TotalVotesCast]]/Table1[[#This Row],[RegisteredVoters]]</f>
        <v>0.98461538461538467</v>
      </c>
      <c r="O32" t="str">
        <f>IF(Table1[[#This Row],[RegisteredVoters]]=Table1[[#This Row],[TotalVotesCast]],"Match","")</f>
        <v/>
      </c>
    </row>
    <row r="33" spans="1:15" ht="13.2">
      <c r="A33" s="1" t="s">
        <v>63</v>
      </c>
      <c r="B33" t="s">
        <v>15</v>
      </c>
      <c r="C33" t="s">
        <v>17</v>
      </c>
      <c r="D33" t="s">
        <v>27</v>
      </c>
      <c r="E33">
        <v>710</v>
      </c>
      <c r="F33">
        <v>355</v>
      </c>
      <c r="G33">
        <v>330</v>
      </c>
      <c r="H33">
        <v>20</v>
      </c>
      <c r="I33">
        <v>705</v>
      </c>
      <c r="J33" s="8">
        <f>Table1[[#This Row],[PartyAVotes]]/Table1[[#This Row],[RegisteredVoters]]</f>
        <v>0.5</v>
      </c>
      <c r="K33" s="8">
        <f>Table1[[#This Row],[PartyBVotes]]/Table1[[#This Row],[RegisteredVoters]]</f>
        <v>0.46478873239436619</v>
      </c>
      <c r="L33" s="8">
        <f>Table1[[#This Row],[PartyCVotes]]/Table1[[#This Row],[RegisteredVoters]]</f>
        <v>2.8169014084507043E-2</v>
      </c>
      <c r="M33">
        <f>ABS(Table1[[#This Row],[PartyAVotes]]-Table1[[#This Row],[PartyBVotes]])</f>
        <v>25</v>
      </c>
      <c r="N33" s="11">
        <f>Table1[[#This Row],[TotalVotesCast]]/Table1[[#This Row],[RegisteredVoters]]</f>
        <v>0.99295774647887325</v>
      </c>
      <c r="O33" t="str">
        <f>IF(Table1[[#This Row],[RegisteredVoters]]=Table1[[#This Row],[TotalVotesCast]],"Match","")</f>
        <v/>
      </c>
    </row>
    <row r="34" spans="1:15" ht="13.2">
      <c r="A34" s="1" t="s">
        <v>64</v>
      </c>
      <c r="B34" t="s">
        <v>18</v>
      </c>
      <c r="C34" t="s">
        <v>19</v>
      </c>
      <c r="D34" t="s">
        <v>33</v>
      </c>
      <c r="E34">
        <v>990</v>
      </c>
      <c r="F34">
        <v>495</v>
      </c>
      <c r="G34">
        <v>460</v>
      </c>
      <c r="H34">
        <v>30</v>
      </c>
      <c r="I34">
        <v>985</v>
      </c>
      <c r="J34" s="8">
        <f>Table1[[#This Row],[PartyAVotes]]/Table1[[#This Row],[RegisteredVoters]]</f>
        <v>0.5</v>
      </c>
      <c r="K34" s="8">
        <f>Table1[[#This Row],[PartyBVotes]]/Table1[[#This Row],[RegisteredVoters]]</f>
        <v>0.46464646464646464</v>
      </c>
      <c r="L34" s="8">
        <f>Table1[[#This Row],[PartyCVotes]]/Table1[[#This Row],[RegisteredVoters]]</f>
        <v>3.0303030303030304E-2</v>
      </c>
      <c r="M34">
        <f>ABS(Table1[[#This Row],[PartyAVotes]]-Table1[[#This Row],[PartyBVotes]])</f>
        <v>35</v>
      </c>
      <c r="N34" s="11">
        <f>Table1[[#This Row],[TotalVotesCast]]/Table1[[#This Row],[RegisteredVoters]]</f>
        <v>0.99494949494949492</v>
      </c>
      <c r="O34" t="str">
        <f>IF(Table1[[#This Row],[RegisteredVoters]]=Table1[[#This Row],[TotalVotesCast]],"Match","")</f>
        <v/>
      </c>
    </row>
    <row r="35" spans="1:15" ht="13.2">
      <c r="A35" s="1" t="s">
        <v>65</v>
      </c>
      <c r="B35" t="s">
        <v>21</v>
      </c>
      <c r="C35" t="s">
        <v>23</v>
      </c>
      <c r="D35" t="s">
        <v>28</v>
      </c>
      <c r="E35">
        <v>1050</v>
      </c>
      <c r="F35">
        <v>525</v>
      </c>
      <c r="G35">
        <v>490</v>
      </c>
      <c r="H35">
        <v>30</v>
      </c>
      <c r="I35">
        <v>1045</v>
      </c>
      <c r="J35" s="8">
        <f>Table1[[#This Row],[PartyAVotes]]/Table1[[#This Row],[RegisteredVoters]]</f>
        <v>0.5</v>
      </c>
      <c r="K35" s="8">
        <f>Table1[[#This Row],[PartyBVotes]]/Table1[[#This Row],[RegisteredVoters]]</f>
        <v>0.46666666666666667</v>
      </c>
      <c r="L35" s="8">
        <f>Table1[[#This Row],[PartyCVotes]]/Table1[[#This Row],[RegisteredVoters]]</f>
        <v>2.8571428571428571E-2</v>
      </c>
      <c r="M35">
        <f>ABS(Table1[[#This Row],[PartyAVotes]]-Table1[[#This Row],[PartyBVotes]])</f>
        <v>35</v>
      </c>
      <c r="N35" s="11">
        <f>Table1[[#This Row],[TotalVotesCast]]/Table1[[#This Row],[RegisteredVoters]]</f>
        <v>0.99523809523809526</v>
      </c>
      <c r="O35" t="str">
        <f>IF(Table1[[#This Row],[RegisteredVoters]]=Table1[[#This Row],[TotalVotesCast]],"Match","")</f>
        <v/>
      </c>
    </row>
    <row r="36" spans="1:15" ht="13.2">
      <c r="A36" s="1" t="s">
        <v>66</v>
      </c>
      <c r="B36" t="s">
        <v>10</v>
      </c>
      <c r="C36" t="s">
        <v>11</v>
      </c>
      <c r="D36" t="s">
        <v>33</v>
      </c>
      <c r="E36">
        <v>590</v>
      </c>
      <c r="F36">
        <v>295</v>
      </c>
      <c r="G36">
        <v>275</v>
      </c>
      <c r="H36">
        <v>15</v>
      </c>
      <c r="I36">
        <v>585</v>
      </c>
      <c r="J36" s="8">
        <f>Table1[[#This Row],[PartyAVotes]]/Table1[[#This Row],[RegisteredVoters]]</f>
        <v>0.5</v>
      </c>
      <c r="K36" s="8">
        <f>Table1[[#This Row],[PartyBVotes]]/Table1[[#This Row],[RegisteredVoters]]</f>
        <v>0.46610169491525422</v>
      </c>
      <c r="L36" s="8">
        <f>Table1[[#This Row],[PartyCVotes]]/Table1[[#This Row],[RegisteredVoters]]</f>
        <v>2.5423728813559324E-2</v>
      </c>
      <c r="M36">
        <f>ABS(Table1[[#This Row],[PartyAVotes]]-Table1[[#This Row],[PartyBVotes]])</f>
        <v>20</v>
      </c>
      <c r="N36" s="11">
        <f>Table1[[#This Row],[TotalVotesCast]]/Table1[[#This Row],[RegisteredVoters]]</f>
        <v>0.99152542372881358</v>
      </c>
      <c r="O36" t="str">
        <f>IF(Table1[[#This Row],[RegisteredVoters]]=Table1[[#This Row],[TotalVotesCast]],"Match","")</f>
        <v/>
      </c>
    </row>
    <row r="37" spans="1:15" ht="13.2">
      <c r="A37" s="1" t="s">
        <v>67</v>
      </c>
      <c r="B37" t="s">
        <v>15</v>
      </c>
      <c r="C37" t="s">
        <v>16</v>
      </c>
      <c r="D37" t="s">
        <v>33</v>
      </c>
      <c r="E37">
        <v>860</v>
      </c>
      <c r="F37">
        <v>430</v>
      </c>
      <c r="G37">
        <v>400</v>
      </c>
      <c r="H37">
        <v>25</v>
      </c>
      <c r="I37">
        <v>855</v>
      </c>
      <c r="J37" s="8">
        <f>Table1[[#This Row],[PartyAVotes]]/Table1[[#This Row],[RegisteredVoters]]</f>
        <v>0.5</v>
      </c>
      <c r="K37" s="8">
        <f>Table1[[#This Row],[PartyBVotes]]/Table1[[#This Row],[RegisteredVoters]]</f>
        <v>0.46511627906976744</v>
      </c>
      <c r="L37" s="8">
        <f>Table1[[#This Row],[PartyCVotes]]/Table1[[#This Row],[RegisteredVoters]]</f>
        <v>2.9069767441860465E-2</v>
      </c>
      <c r="M37">
        <f>ABS(Table1[[#This Row],[PartyAVotes]]-Table1[[#This Row],[PartyBVotes]])</f>
        <v>30</v>
      </c>
      <c r="N37" s="11">
        <f>Table1[[#This Row],[TotalVotesCast]]/Table1[[#This Row],[RegisteredVoters]]</f>
        <v>0.9941860465116279</v>
      </c>
      <c r="O37" t="str">
        <f>IF(Table1[[#This Row],[RegisteredVoters]]=Table1[[#This Row],[TotalVotesCast]],"Match","")</f>
        <v/>
      </c>
    </row>
    <row r="38" spans="1:15" ht="13.2">
      <c r="A38" s="1" t="s">
        <v>68</v>
      </c>
      <c r="B38" t="s">
        <v>18</v>
      </c>
      <c r="C38" t="s">
        <v>20</v>
      </c>
      <c r="D38" t="s">
        <v>69</v>
      </c>
      <c r="E38">
        <v>930</v>
      </c>
      <c r="F38">
        <v>465</v>
      </c>
      <c r="G38">
        <v>440</v>
      </c>
      <c r="H38">
        <v>20</v>
      </c>
      <c r="I38">
        <v>925</v>
      </c>
      <c r="J38" s="8">
        <f>Table1[[#This Row],[PartyAVotes]]/Table1[[#This Row],[RegisteredVoters]]</f>
        <v>0.5</v>
      </c>
      <c r="K38" s="8">
        <f>Table1[[#This Row],[PartyBVotes]]/Table1[[#This Row],[RegisteredVoters]]</f>
        <v>0.4731182795698925</v>
      </c>
      <c r="L38" s="8">
        <f>Table1[[#This Row],[PartyCVotes]]/Table1[[#This Row],[RegisteredVoters]]</f>
        <v>2.1505376344086023E-2</v>
      </c>
      <c r="M38">
        <f>ABS(Table1[[#This Row],[PartyAVotes]]-Table1[[#This Row],[PartyBVotes]])</f>
        <v>25</v>
      </c>
      <c r="N38" s="11">
        <f>Table1[[#This Row],[TotalVotesCast]]/Table1[[#This Row],[RegisteredVoters]]</f>
        <v>0.9946236559139785</v>
      </c>
      <c r="O38" t="str">
        <f>IF(Table1[[#This Row],[RegisteredVoters]]=Table1[[#This Row],[TotalVotesCast]],"Match","")</f>
        <v/>
      </c>
    </row>
    <row r="39" spans="1:15" ht="13.2">
      <c r="A39" s="1" t="s">
        <v>70</v>
      </c>
      <c r="B39" t="s">
        <v>21</v>
      </c>
      <c r="C39" t="s">
        <v>22</v>
      </c>
      <c r="D39" t="s">
        <v>29</v>
      </c>
      <c r="E39">
        <v>1220</v>
      </c>
      <c r="F39">
        <v>610</v>
      </c>
      <c r="G39">
        <v>575</v>
      </c>
      <c r="H39">
        <v>30</v>
      </c>
      <c r="I39">
        <v>1215</v>
      </c>
      <c r="J39" s="8">
        <f>Table1[[#This Row],[PartyAVotes]]/Table1[[#This Row],[RegisteredVoters]]</f>
        <v>0.5</v>
      </c>
      <c r="K39" s="8">
        <f>Table1[[#This Row],[PartyBVotes]]/Table1[[#This Row],[RegisteredVoters]]</f>
        <v>0.47131147540983609</v>
      </c>
      <c r="L39" s="8">
        <f>Table1[[#This Row],[PartyCVotes]]/Table1[[#This Row],[RegisteredVoters]]</f>
        <v>2.4590163934426229E-2</v>
      </c>
      <c r="M39">
        <f>ABS(Table1[[#This Row],[PartyAVotes]]-Table1[[#This Row],[PartyBVotes]])</f>
        <v>35</v>
      </c>
      <c r="N39" s="11">
        <f>Table1[[#This Row],[TotalVotesCast]]/Table1[[#This Row],[RegisteredVoters]]</f>
        <v>0.99590163934426235</v>
      </c>
      <c r="O39" t="str">
        <f>IF(Table1[[#This Row],[RegisteredVoters]]=Table1[[#This Row],[TotalVotesCast]],"Match","")</f>
        <v/>
      </c>
    </row>
    <row r="40" spans="1:15" ht="13.2">
      <c r="A40" s="1" t="s">
        <v>71</v>
      </c>
      <c r="B40" t="s">
        <v>10</v>
      </c>
      <c r="C40" t="s">
        <v>14</v>
      </c>
      <c r="D40" t="s">
        <v>33</v>
      </c>
      <c r="E40">
        <v>660</v>
      </c>
      <c r="F40">
        <v>330</v>
      </c>
      <c r="G40">
        <v>300</v>
      </c>
      <c r="H40">
        <v>20</v>
      </c>
      <c r="I40">
        <v>650</v>
      </c>
      <c r="J40" s="8">
        <f>Table1[[#This Row],[PartyAVotes]]/Table1[[#This Row],[RegisteredVoters]]</f>
        <v>0.5</v>
      </c>
      <c r="K40" s="8">
        <f>Table1[[#This Row],[PartyBVotes]]/Table1[[#This Row],[RegisteredVoters]]</f>
        <v>0.45454545454545453</v>
      </c>
      <c r="L40" s="8">
        <f>Table1[[#This Row],[PartyCVotes]]/Table1[[#This Row],[RegisteredVoters]]</f>
        <v>3.0303030303030304E-2</v>
      </c>
      <c r="M40">
        <f>ABS(Table1[[#This Row],[PartyAVotes]]-Table1[[#This Row],[PartyBVotes]])</f>
        <v>30</v>
      </c>
      <c r="N40" s="11">
        <f>Table1[[#This Row],[TotalVotesCast]]/Table1[[#This Row],[RegisteredVoters]]</f>
        <v>0.98484848484848486</v>
      </c>
      <c r="O40" t="str">
        <f>IF(Table1[[#This Row],[RegisteredVoters]]=Table1[[#This Row],[TotalVotesCast]],"Match","")</f>
        <v/>
      </c>
    </row>
    <row r="41" spans="1:15" ht="13.2">
      <c r="A41" s="1" t="s">
        <v>72</v>
      </c>
      <c r="B41" t="s">
        <v>15</v>
      </c>
      <c r="C41" t="s">
        <v>17</v>
      </c>
      <c r="D41" t="s">
        <v>28</v>
      </c>
      <c r="E41">
        <v>720</v>
      </c>
      <c r="F41">
        <v>360</v>
      </c>
      <c r="G41">
        <v>335</v>
      </c>
      <c r="H41">
        <v>20</v>
      </c>
      <c r="I41">
        <v>715</v>
      </c>
      <c r="J41" s="8">
        <f>Table1[[#This Row],[PartyAVotes]]/Table1[[#This Row],[RegisteredVoters]]</f>
        <v>0.5</v>
      </c>
      <c r="K41" s="8">
        <f>Table1[[#This Row],[PartyBVotes]]/Table1[[#This Row],[RegisteredVoters]]</f>
        <v>0.46527777777777779</v>
      </c>
      <c r="L41" s="8">
        <f>Table1[[#This Row],[PartyCVotes]]/Table1[[#This Row],[RegisteredVoters]]</f>
        <v>2.7777777777777776E-2</v>
      </c>
      <c r="M41">
        <f>ABS(Table1[[#This Row],[PartyAVotes]]-Table1[[#This Row],[PartyBVotes]])</f>
        <v>25</v>
      </c>
      <c r="N41" s="11">
        <f>Table1[[#This Row],[TotalVotesCast]]/Table1[[#This Row],[RegisteredVoters]]</f>
        <v>0.99305555555555558</v>
      </c>
      <c r="O41" t="str">
        <f>IF(Table1[[#This Row],[RegisteredVoters]]=Table1[[#This Row],[TotalVotesCast]],"Match","")</f>
        <v/>
      </c>
    </row>
    <row r="42" spans="1:15" ht="13.2">
      <c r="A42" s="1" t="s">
        <v>73</v>
      </c>
      <c r="B42" t="s">
        <v>18</v>
      </c>
      <c r="C42" t="s">
        <v>19</v>
      </c>
      <c r="D42" t="s">
        <v>42</v>
      </c>
      <c r="E42">
        <v>1000</v>
      </c>
      <c r="F42">
        <v>500</v>
      </c>
      <c r="G42">
        <v>465</v>
      </c>
      <c r="H42">
        <v>30</v>
      </c>
      <c r="I42">
        <v>995</v>
      </c>
      <c r="J42" s="8">
        <f>Table1[[#This Row],[PartyAVotes]]/Table1[[#This Row],[RegisteredVoters]]</f>
        <v>0.5</v>
      </c>
      <c r="K42" s="8">
        <f>Table1[[#This Row],[PartyBVotes]]/Table1[[#This Row],[RegisteredVoters]]</f>
        <v>0.46500000000000002</v>
      </c>
      <c r="L42" s="8">
        <f>Table1[[#This Row],[PartyCVotes]]/Table1[[#This Row],[RegisteredVoters]]</f>
        <v>0.03</v>
      </c>
      <c r="M42">
        <f>ABS(Table1[[#This Row],[PartyAVotes]]-Table1[[#This Row],[PartyBVotes]])</f>
        <v>35</v>
      </c>
      <c r="N42" s="11">
        <f>Table1[[#This Row],[TotalVotesCast]]/Table1[[#This Row],[RegisteredVoters]]</f>
        <v>0.995</v>
      </c>
      <c r="O42" t="str">
        <f>IF(Table1[[#This Row],[RegisteredVoters]]=Table1[[#This Row],[TotalVotesCast]],"Match","")</f>
        <v/>
      </c>
    </row>
    <row r="43" spans="1:15" ht="13.2">
      <c r="A43" s="1" t="s">
        <v>74</v>
      </c>
      <c r="B43" t="s">
        <v>21</v>
      </c>
      <c r="C43" t="s">
        <v>23</v>
      </c>
      <c r="D43" t="s">
        <v>29</v>
      </c>
      <c r="E43">
        <v>1060</v>
      </c>
      <c r="F43">
        <v>530</v>
      </c>
      <c r="G43">
        <v>495</v>
      </c>
      <c r="H43">
        <v>30</v>
      </c>
      <c r="I43">
        <v>1055</v>
      </c>
      <c r="J43" s="8">
        <f>Table1[[#This Row],[PartyAVotes]]/Table1[[#This Row],[RegisteredVoters]]</f>
        <v>0.5</v>
      </c>
      <c r="K43" s="8">
        <f>Table1[[#This Row],[PartyBVotes]]/Table1[[#This Row],[RegisteredVoters]]</f>
        <v>0.46698113207547171</v>
      </c>
      <c r="L43" s="8">
        <f>Table1[[#This Row],[PartyCVotes]]/Table1[[#This Row],[RegisteredVoters]]</f>
        <v>2.8301886792452831E-2</v>
      </c>
      <c r="M43">
        <f>ABS(Table1[[#This Row],[PartyAVotes]]-Table1[[#This Row],[PartyBVotes]])</f>
        <v>35</v>
      </c>
      <c r="N43" s="11">
        <f>Table1[[#This Row],[TotalVotesCast]]/Table1[[#This Row],[RegisteredVoters]]</f>
        <v>0.99528301886792447</v>
      </c>
      <c r="O43" t="str">
        <f>IF(Table1[[#This Row],[RegisteredVoters]]=Table1[[#This Row],[TotalVotesCast]],"Match","")</f>
        <v/>
      </c>
    </row>
    <row r="44" spans="1:15" ht="13.2">
      <c r="A44" s="1" t="s">
        <v>75</v>
      </c>
      <c r="B44" t="s">
        <v>10</v>
      </c>
      <c r="C44" t="s">
        <v>11</v>
      </c>
      <c r="D44" t="s">
        <v>42</v>
      </c>
      <c r="E44">
        <v>600</v>
      </c>
      <c r="F44">
        <v>300</v>
      </c>
      <c r="G44">
        <v>280</v>
      </c>
      <c r="H44">
        <v>15</v>
      </c>
      <c r="I44">
        <v>595</v>
      </c>
      <c r="J44" s="8">
        <f>Table1[[#This Row],[PartyAVotes]]/Table1[[#This Row],[RegisteredVoters]]</f>
        <v>0.5</v>
      </c>
      <c r="K44" s="8">
        <f>Table1[[#This Row],[PartyBVotes]]/Table1[[#This Row],[RegisteredVoters]]</f>
        <v>0.46666666666666667</v>
      </c>
      <c r="L44" s="8">
        <f>Table1[[#This Row],[PartyCVotes]]/Table1[[#This Row],[RegisteredVoters]]</f>
        <v>2.5000000000000001E-2</v>
      </c>
      <c r="M44">
        <f>ABS(Table1[[#This Row],[PartyAVotes]]-Table1[[#This Row],[PartyBVotes]])</f>
        <v>20</v>
      </c>
      <c r="N44" s="11">
        <f>Table1[[#This Row],[TotalVotesCast]]/Table1[[#This Row],[RegisteredVoters]]</f>
        <v>0.9916666666666667</v>
      </c>
      <c r="O44" t="str">
        <f>IF(Table1[[#This Row],[RegisteredVoters]]=Table1[[#This Row],[TotalVotesCast]],"Match","")</f>
        <v/>
      </c>
    </row>
    <row r="45" spans="1:15" ht="13.2">
      <c r="A45" s="1" t="s">
        <v>76</v>
      </c>
      <c r="B45" t="s">
        <v>15</v>
      </c>
      <c r="C45" t="s">
        <v>16</v>
      </c>
      <c r="D45" t="s">
        <v>42</v>
      </c>
      <c r="E45">
        <v>870</v>
      </c>
      <c r="F45">
        <v>435</v>
      </c>
      <c r="G45">
        <v>405</v>
      </c>
      <c r="H45">
        <v>25</v>
      </c>
      <c r="I45">
        <v>865</v>
      </c>
      <c r="J45" s="8">
        <f>Table1[[#This Row],[PartyAVotes]]/Table1[[#This Row],[RegisteredVoters]]</f>
        <v>0.5</v>
      </c>
      <c r="K45" s="8">
        <f>Table1[[#This Row],[PartyBVotes]]/Table1[[#This Row],[RegisteredVoters]]</f>
        <v>0.46551724137931033</v>
      </c>
      <c r="L45" s="8">
        <f>Table1[[#This Row],[PartyCVotes]]/Table1[[#This Row],[RegisteredVoters]]</f>
        <v>2.8735632183908046E-2</v>
      </c>
      <c r="M45">
        <f>ABS(Table1[[#This Row],[PartyAVotes]]-Table1[[#This Row],[PartyBVotes]])</f>
        <v>30</v>
      </c>
      <c r="N45" s="11">
        <f>Table1[[#This Row],[TotalVotesCast]]/Table1[[#This Row],[RegisteredVoters]]</f>
        <v>0.99425287356321834</v>
      </c>
      <c r="O45" t="str">
        <f>IF(Table1[[#This Row],[RegisteredVoters]]=Table1[[#This Row],[TotalVotesCast]],"Match","")</f>
        <v/>
      </c>
    </row>
    <row r="46" spans="1:15" ht="13.2">
      <c r="A46" s="1" t="s">
        <v>77</v>
      </c>
      <c r="B46" t="s">
        <v>18</v>
      </c>
      <c r="C46" t="s">
        <v>20</v>
      </c>
      <c r="D46" t="s">
        <v>78</v>
      </c>
      <c r="E46">
        <v>940</v>
      </c>
      <c r="F46">
        <v>470</v>
      </c>
      <c r="G46">
        <v>445</v>
      </c>
      <c r="H46">
        <v>20</v>
      </c>
      <c r="I46">
        <v>935</v>
      </c>
      <c r="J46" s="8">
        <f>Table1[[#This Row],[PartyAVotes]]/Table1[[#This Row],[RegisteredVoters]]</f>
        <v>0.5</v>
      </c>
      <c r="K46" s="8">
        <f>Table1[[#This Row],[PartyBVotes]]/Table1[[#This Row],[RegisteredVoters]]</f>
        <v>0.47340425531914893</v>
      </c>
      <c r="L46" s="8">
        <f>Table1[[#This Row],[PartyCVotes]]/Table1[[#This Row],[RegisteredVoters]]</f>
        <v>2.1276595744680851E-2</v>
      </c>
      <c r="M46">
        <f>ABS(Table1[[#This Row],[PartyAVotes]]-Table1[[#This Row],[PartyBVotes]])</f>
        <v>25</v>
      </c>
      <c r="N46" s="11">
        <f>Table1[[#This Row],[TotalVotesCast]]/Table1[[#This Row],[RegisteredVoters]]</f>
        <v>0.99468085106382975</v>
      </c>
      <c r="O46" t="str">
        <f>IF(Table1[[#This Row],[RegisteredVoters]]=Table1[[#This Row],[TotalVotesCast]],"Match","")</f>
        <v/>
      </c>
    </row>
    <row r="47" spans="1:15" ht="13.2">
      <c r="A47" s="1" t="s">
        <v>79</v>
      </c>
      <c r="B47" t="s">
        <v>21</v>
      </c>
      <c r="C47" t="s">
        <v>22</v>
      </c>
      <c r="D47" t="s">
        <v>33</v>
      </c>
      <c r="E47">
        <v>1230</v>
      </c>
      <c r="F47">
        <v>615</v>
      </c>
      <c r="G47">
        <v>580</v>
      </c>
      <c r="H47">
        <v>30</v>
      </c>
      <c r="I47">
        <v>1225</v>
      </c>
      <c r="J47" s="8">
        <f>Table1[[#This Row],[PartyAVotes]]/Table1[[#This Row],[RegisteredVoters]]</f>
        <v>0.5</v>
      </c>
      <c r="K47" s="8">
        <f>Table1[[#This Row],[PartyBVotes]]/Table1[[#This Row],[RegisteredVoters]]</f>
        <v>0.47154471544715448</v>
      </c>
      <c r="L47" s="8">
        <f>Table1[[#This Row],[PartyCVotes]]/Table1[[#This Row],[RegisteredVoters]]</f>
        <v>2.4390243902439025E-2</v>
      </c>
      <c r="M47">
        <f>ABS(Table1[[#This Row],[PartyAVotes]]-Table1[[#This Row],[PartyBVotes]])</f>
        <v>35</v>
      </c>
      <c r="N47" s="11">
        <f>Table1[[#This Row],[TotalVotesCast]]/Table1[[#This Row],[RegisteredVoters]]</f>
        <v>0.99593495934959353</v>
      </c>
      <c r="O47" t="str">
        <f>IF(Table1[[#This Row],[RegisteredVoters]]=Table1[[#This Row],[TotalVotesCast]],"Match","")</f>
        <v/>
      </c>
    </row>
    <row r="48" spans="1:15" ht="13.2">
      <c r="A48" s="1" t="s">
        <v>80</v>
      </c>
      <c r="B48" t="s">
        <v>10</v>
      </c>
      <c r="C48" t="s">
        <v>14</v>
      </c>
      <c r="D48" t="s">
        <v>42</v>
      </c>
      <c r="E48">
        <v>670</v>
      </c>
      <c r="F48">
        <v>335</v>
      </c>
      <c r="G48">
        <v>305</v>
      </c>
      <c r="H48">
        <v>20</v>
      </c>
      <c r="I48">
        <v>660</v>
      </c>
      <c r="J48" s="8">
        <f>Table1[[#This Row],[PartyAVotes]]/Table1[[#This Row],[RegisteredVoters]]</f>
        <v>0.5</v>
      </c>
      <c r="K48" s="8">
        <f>Table1[[#This Row],[PartyBVotes]]/Table1[[#This Row],[RegisteredVoters]]</f>
        <v>0.45522388059701491</v>
      </c>
      <c r="L48" s="8">
        <f>Table1[[#This Row],[PartyCVotes]]/Table1[[#This Row],[RegisteredVoters]]</f>
        <v>2.9850746268656716E-2</v>
      </c>
      <c r="M48">
        <f>ABS(Table1[[#This Row],[PartyAVotes]]-Table1[[#This Row],[PartyBVotes]])</f>
        <v>30</v>
      </c>
      <c r="N48" s="11">
        <f>Table1[[#This Row],[TotalVotesCast]]/Table1[[#This Row],[RegisteredVoters]]</f>
        <v>0.9850746268656716</v>
      </c>
      <c r="O48" t="str">
        <f>IF(Table1[[#This Row],[RegisteredVoters]]=Table1[[#This Row],[TotalVotesCast]],"Match","")</f>
        <v/>
      </c>
    </row>
    <row r="49" spans="1:15" ht="13.2">
      <c r="A49" s="1" t="s">
        <v>81</v>
      </c>
      <c r="B49" t="s">
        <v>15</v>
      </c>
      <c r="C49" t="s">
        <v>17</v>
      </c>
      <c r="D49" t="s">
        <v>29</v>
      </c>
      <c r="E49">
        <v>730</v>
      </c>
      <c r="F49">
        <v>365</v>
      </c>
      <c r="G49">
        <v>340</v>
      </c>
      <c r="H49">
        <v>20</v>
      </c>
      <c r="I49">
        <v>725</v>
      </c>
      <c r="J49" s="8">
        <f>Table1[[#This Row],[PartyAVotes]]/Table1[[#This Row],[RegisteredVoters]]</f>
        <v>0.5</v>
      </c>
      <c r="K49" s="8">
        <f>Table1[[#This Row],[PartyBVotes]]/Table1[[#This Row],[RegisteredVoters]]</f>
        <v>0.46575342465753422</v>
      </c>
      <c r="L49" s="8">
        <f>Table1[[#This Row],[PartyCVotes]]/Table1[[#This Row],[RegisteredVoters]]</f>
        <v>2.7397260273972601E-2</v>
      </c>
      <c r="M49">
        <f>ABS(Table1[[#This Row],[PartyAVotes]]-Table1[[#This Row],[PartyBVotes]])</f>
        <v>25</v>
      </c>
      <c r="N49" s="11">
        <f>Table1[[#This Row],[TotalVotesCast]]/Table1[[#This Row],[RegisteredVoters]]</f>
        <v>0.99315068493150682</v>
      </c>
      <c r="O49" t="str">
        <f>IF(Table1[[#This Row],[RegisteredVoters]]=Table1[[#This Row],[TotalVotesCast]],"Match","")</f>
        <v/>
      </c>
    </row>
    <row r="50" spans="1:15" ht="13.2">
      <c r="A50" s="1" t="s">
        <v>82</v>
      </c>
      <c r="B50" t="s">
        <v>18</v>
      </c>
      <c r="C50" t="s">
        <v>19</v>
      </c>
      <c r="D50" t="s">
        <v>51</v>
      </c>
      <c r="E50">
        <v>1010</v>
      </c>
      <c r="F50">
        <v>505</v>
      </c>
      <c r="G50">
        <v>470</v>
      </c>
      <c r="H50">
        <v>30</v>
      </c>
      <c r="I50">
        <v>1005</v>
      </c>
      <c r="J50" s="8">
        <f>Table1[[#This Row],[PartyAVotes]]/Table1[[#This Row],[RegisteredVoters]]</f>
        <v>0.5</v>
      </c>
      <c r="K50" s="8">
        <f>Table1[[#This Row],[PartyBVotes]]/Table1[[#This Row],[RegisteredVoters]]</f>
        <v>0.46534653465346537</v>
      </c>
      <c r="L50" s="8">
        <f>Table1[[#This Row],[PartyCVotes]]/Table1[[#This Row],[RegisteredVoters]]</f>
        <v>2.9702970297029702E-2</v>
      </c>
      <c r="M50">
        <f>ABS(Table1[[#This Row],[PartyAVotes]]-Table1[[#This Row],[PartyBVotes]])</f>
        <v>35</v>
      </c>
      <c r="N50" s="11">
        <f>Table1[[#This Row],[TotalVotesCast]]/Table1[[#This Row],[RegisteredVoters]]</f>
        <v>0.99504950495049505</v>
      </c>
      <c r="O50" t="str">
        <f>IF(Table1[[#This Row],[RegisteredVoters]]=Table1[[#This Row],[TotalVotesCast]],"Match","")</f>
        <v/>
      </c>
    </row>
    <row r="51" spans="1:15" ht="13.2">
      <c r="A51" s="1" t="s">
        <v>83</v>
      </c>
      <c r="B51" t="s">
        <v>21</v>
      </c>
      <c r="C51" t="s">
        <v>23</v>
      </c>
      <c r="D51" t="s">
        <v>33</v>
      </c>
      <c r="E51">
        <v>1070</v>
      </c>
      <c r="F51">
        <v>535</v>
      </c>
      <c r="G51">
        <v>500</v>
      </c>
      <c r="H51">
        <v>30</v>
      </c>
      <c r="I51">
        <v>1065</v>
      </c>
      <c r="J51" s="8">
        <f>Table1[[#This Row],[PartyAVotes]]/Table1[[#This Row],[RegisteredVoters]]</f>
        <v>0.5</v>
      </c>
      <c r="K51" s="8">
        <f>Table1[[#This Row],[PartyBVotes]]/Table1[[#This Row],[RegisteredVoters]]</f>
        <v>0.46728971962616822</v>
      </c>
      <c r="L51" s="8">
        <f>Table1[[#This Row],[PartyCVotes]]/Table1[[#This Row],[RegisteredVoters]]</f>
        <v>2.8037383177570093E-2</v>
      </c>
      <c r="M51">
        <f>ABS(Table1[[#This Row],[PartyAVotes]]-Table1[[#This Row],[PartyBVotes]])</f>
        <v>35</v>
      </c>
      <c r="N51" s="11">
        <f>Table1[[#This Row],[TotalVotesCast]]/Table1[[#This Row],[RegisteredVoters]]</f>
        <v>0.99532710280373837</v>
      </c>
      <c r="O51" t="str">
        <f>IF(Table1[[#This Row],[RegisteredVoters]]=Table1[[#This Row],[TotalVotesCast]],"Match","")</f>
        <v/>
      </c>
    </row>
    <row r="52" spans="1:15" ht="13.2">
      <c r="A52" s="1" t="s">
        <v>84</v>
      </c>
      <c r="B52" t="s">
        <v>10</v>
      </c>
      <c r="C52" t="s">
        <v>11</v>
      </c>
      <c r="D52" t="s">
        <v>51</v>
      </c>
      <c r="E52">
        <v>610</v>
      </c>
      <c r="F52">
        <v>305</v>
      </c>
      <c r="G52">
        <v>285</v>
      </c>
      <c r="H52">
        <v>15</v>
      </c>
      <c r="I52">
        <v>605</v>
      </c>
      <c r="J52" s="8">
        <f>Table1[[#This Row],[PartyAVotes]]/Table1[[#This Row],[RegisteredVoters]]</f>
        <v>0.5</v>
      </c>
      <c r="K52" s="8">
        <f>Table1[[#This Row],[PartyBVotes]]/Table1[[#This Row],[RegisteredVoters]]</f>
        <v>0.46721311475409838</v>
      </c>
      <c r="L52" s="8">
        <f>Table1[[#This Row],[PartyCVotes]]/Table1[[#This Row],[RegisteredVoters]]</f>
        <v>2.4590163934426229E-2</v>
      </c>
      <c r="M52">
        <f>ABS(Table1[[#This Row],[PartyAVotes]]-Table1[[#This Row],[PartyBVotes]])</f>
        <v>20</v>
      </c>
      <c r="N52" s="11">
        <f>Table1[[#This Row],[TotalVotesCast]]/Table1[[#This Row],[RegisteredVoters]]</f>
        <v>0.99180327868852458</v>
      </c>
      <c r="O52" t="str">
        <f>IF(Table1[[#This Row],[RegisteredVoters]]=Table1[[#This Row],[TotalVotesCast]],"Match","")</f>
        <v/>
      </c>
    </row>
    <row r="53" spans="1:15" ht="13.2">
      <c r="A53" s="1" t="s">
        <v>85</v>
      </c>
      <c r="B53" t="s">
        <v>15</v>
      </c>
      <c r="C53" t="s">
        <v>16</v>
      </c>
      <c r="D53" t="s">
        <v>51</v>
      </c>
      <c r="E53">
        <v>880</v>
      </c>
      <c r="F53">
        <v>440</v>
      </c>
      <c r="G53">
        <v>410</v>
      </c>
      <c r="H53">
        <v>25</v>
      </c>
      <c r="I53">
        <v>875</v>
      </c>
      <c r="J53" s="8">
        <f>Table1[[#This Row],[PartyAVotes]]/Table1[[#This Row],[RegisteredVoters]]</f>
        <v>0.5</v>
      </c>
      <c r="K53" s="8">
        <f>Table1[[#This Row],[PartyBVotes]]/Table1[[#This Row],[RegisteredVoters]]</f>
        <v>0.46590909090909088</v>
      </c>
      <c r="L53" s="8">
        <f>Table1[[#This Row],[PartyCVotes]]/Table1[[#This Row],[RegisteredVoters]]</f>
        <v>2.8409090909090908E-2</v>
      </c>
      <c r="M53">
        <f>ABS(Table1[[#This Row],[PartyAVotes]]-Table1[[#This Row],[PartyBVotes]])</f>
        <v>30</v>
      </c>
      <c r="N53" s="11">
        <f>Table1[[#This Row],[TotalVotesCast]]/Table1[[#This Row],[RegisteredVoters]]</f>
        <v>0.99431818181818177</v>
      </c>
      <c r="O53" t="str">
        <f>IF(Table1[[#This Row],[RegisteredVoters]]=Table1[[#This Row],[TotalVotesCast]],"Match","")</f>
        <v/>
      </c>
    </row>
    <row r="54" spans="1:15" ht="13.2">
      <c r="A54" s="1" t="s">
        <v>86</v>
      </c>
      <c r="B54" t="s">
        <v>18</v>
      </c>
      <c r="C54" t="s">
        <v>20</v>
      </c>
      <c r="D54" t="s">
        <v>87</v>
      </c>
      <c r="E54">
        <v>950</v>
      </c>
      <c r="F54">
        <v>475</v>
      </c>
      <c r="G54">
        <v>450</v>
      </c>
      <c r="H54">
        <v>20</v>
      </c>
      <c r="I54">
        <v>945</v>
      </c>
      <c r="J54" s="8">
        <f>Table1[[#This Row],[PartyAVotes]]/Table1[[#This Row],[RegisteredVoters]]</f>
        <v>0.5</v>
      </c>
      <c r="K54" s="8">
        <f>Table1[[#This Row],[PartyBVotes]]/Table1[[#This Row],[RegisteredVoters]]</f>
        <v>0.47368421052631576</v>
      </c>
      <c r="L54" s="8">
        <f>Table1[[#This Row],[PartyCVotes]]/Table1[[#This Row],[RegisteredVoters]]</f>
        <v>2.1052631578947368E-2</v>
      </c>
      <c r="M54">
        <f>ABS(Table1[[#This Row],[PartyAVotes]]-Table1[[#This Row],[PartyBVotes]])</f>
        <v>25</v>
      </c>
      <c r="N54" s="11">
        <f>Table1[[#This Row],[TotalVotesCast]]/Table1[[#This Row],[RegisteredVoters]]</f>
        <v>0.99473684210526314</v>
      </c>
      <c r="O54" t="str">
        <f>IF(Table1[[#This Row],[RegisteredVoters]]=Table1[[#This Row],[TotalVotesCast]],"Match","")</f>
        <v/>
      </c>
    </row>
    <row r="55" spans="1:15" ht="13.2">
      <c r="A55" s="1" t="s">
        <v>88</v>
      </c>
      <c r="B55" t="s">
        <v>21</v>
      </c>
      <c r="C55" t="s">
        <v>22</v>
      </c>
      <c r="D55" t="s">
        <v>42</v>
      </c>
      <c r="E55">
        <v>1240</v>
      </c>
      <c r="F55">
        <v>620</v>
      </c>
      <c r="G55">
        <v>585</v>
      </c>
      <c r="H55">
        <v>30</v>
      </c>
      <c r="I55">
        <v>1235</v>
      </c>
      <c r="J55" s="8">
        <f>Table1[[#This Row],[PartyAVotes]]/Table1[[#This Row],[RegisteredVoters]]</f>
        <v>0.5</v>
      </c>
      <c r="K55" s="8">
        <f>Table1[[#This Row],[PartyBVotes]]/Table1[[#This Row],[RegisteredVoters]]</f>
        <v>0.47177419354838712</v>
      </c>
      <c r="L55" s="8">
        <f>Table1[[#This Row],[PartyCVotes]]/Table1[[#This Row],[RegisteredVoters]]</f>
        <v>2.4193548387096774E-2</v>
      </c>
      <c r="M55">
        <f>ABS(Table1[[#This Row],[PartyAVotes]]-Table1[[#This Row],[PartyBVotes]])</f>
        <v>35</v>
      </c>
      <c r="N55" s="11">
        <f>Table1[[#This Row],[TotalVotesCast]]/Table1[[#This Row],[RegisteredVoters]]</f>
        <v>0.99596774193548387</v>
      </c>
      <c r="O55" t="str">
        <f>IF(Table1[[#This Row],[RegisteredVoters]]=Table1[[#This Row],[TotalVotesCast]],"Match","")</f>
        <v/>
      </c>
    </row>
    <row r="56" spans="1:15" ht="13.2">
      <c r="A56" s="1" t="s">
        <v>89</v>
      </c>
      <c r="B56" t="s">
        <v>10</v>
      </c>
      <c r="C56" t="s">
        <v>14</v>
      </c>
      <c r="D56" t="s">
        <v>51</v>
      </c>
      <c r="E56">
        <v>680</v>
      </c>
      <c r="F56">
        <v>340</v>
      </c>
      <c r="G56">
        <v>310</v>
      </c>
      <c r="H56">
        <v>20</v>
      </c>
      <c r="I56">
        <v>670</v>
      </c>
      <c r="J56" s="8">
        <f>Table1[[#This Row],[PartyAVotes]]/Table1[[#This Row],[RegisteredVoters]]</f>
        <v>0.5</v>
      </c>
      <c r="K56" s="8">
        <f>Table1[[#This Row],[PartyBVotes]]/Table1[[#This Row],[RegisteredVoters]]</f>
        <v>0.45588235294117646</v>
      </c>
      <c r="L56" s="8">
        <f>Table1[[#This Row],[PartyCVotes]]/Table1[[#This Row],[RegisteredVoters]]</f>
        <v>2.9411764705882353E-2</v>
      </c>
      <c r="M56">
        <f>ABS(Table1[[#This Row],[PartyAVotes]]-Table1[[#This Row],[PartyBVotes]])</f>
        <v>30</v>
      </c>
      <c r="N56" s="11">
        <f>Table1[[#This Row],[TotalVotesCast]]/Table1[[#This Row],[RegisteredVoters]]</f>
        <v>0.98529411764705888</v>
      </c>
      <c r="O56" t="str">
        <f>IF(Table1[[#This Row],[RegisteredVoters]]=Table1[[#This Row],[TotalVotesCast]],"Match","")</f>
        <v/>
      </c>
    </row>
    <row r="57" spans="1:15" ht="13.2">
      <c r="A57" s="1" t="s">
        <v>90</v>
      </c>
      <c r="B57" t="s">
        <v>15</v>
      </c>
      <c r="C57" t="s">
        <v>17</v>
      </c>
      <c r="D57" t="s">
        <v>33</v>
      </c>
      <c r="E57">
        <v>740</v>
      </c>
      <c r="F57">
        <v>370</v>
      </c>
      <c r="G57">
        <v>345</v>
      </c>
      <c r="H57">
        <v>20</v>
      </c>
      <c r="I57">
        <v>735</v>
      </c>
      <c r="J57" s="8">
        <f>Table1[[#This Row],[PartyAVotes]]/Table1[[#This Row],[RegisteredVoters]]</f>
        <v>0.5</v>
      </c>
      <c r="K57" s="8">
        <f>Table1[[#This Row],[PartyBVotes]]/Table1[[#This Row],[RegisteredVoters]]</f>
        <v>0.46621621621621623</v>
      </c>
      <c r="L57" s="8">
        <f>Table1[[#This Row],[PartyCVotes]]/Table1[[#This Row],[RegisteredVoters]]</f>
        <v>2.7027027027027029E-2</v>
      </c>
      <c r="M57">
        <f>ABS(Table1[[#This Row],[PartyAVotes]]-Table1[[#This Row],[PartyBVotes]])</f>
        <v>25</v>
      </c>
      <c r="N57" s="11">
        <f>Table1[[#This Row],[TotalVotesCast]]/Table1[[#This Row],[RegisteredVoters]]</f>
        <v>0.9932432432432432</v>
      </c>
      <c r="O57" t="str">
        <f>IF(Table1[[#This Row],[RegisteredVoters]]=Table1[[#This Row],[TotalVotesCast]],"Match","")</f>
        <v/>
      </c>
    </row>
    <row r="58" spans="1:15" ht="13.2">
      <c r="A58" s="1" t="s">
        <v>91</v>
      </c>
      <c r="B58" t="s">
        <v>18</v>
      </c>
      <c r="C58" t="s">
        <v>19</v>
      </c>
      <c r="D58" t="s">
        <v>60</v>
      </c>
      <c r="E58">
        <v>1020</v>
      </c>
      <c r="F58">
        <v>510</v>
      </c>
      <c r="G58">
        <v>475</v>
      </c>
      <c r="H58">
        <v>30</v>
      </c>
      <c r="I58">
        <v>1015</v>
      </c>
      <c r="J58" s="8">
        <f>Table1[[#This Row],[PartyAVotes]]/Table1[[#This Row],[RegisteredVoters]]</f>
        <v>0.5</v>
      </c>
      <c r="K58" s="8">
        <f>Table1[[#This Row],[PartyBVotes]]/Table1[[#This Row],[RegisteredVoters]]</f>
        <v>0.46568627450980393</v>
      </c>
      <c r="L58" s="8">
        <f>Table1[[#This Row],[PartyCVotes]]/Table1[[#This Row],[RegisteredVoters]]</f>
        <v>2.9411764705882353E-2</v>
      </c>
      <c r="M58">
        <f>ABS(Table1[[#This Row],[PartyAVotes]]-Table1[[#This Row],[PartyBVotes]])</f>
        <v>35</v>
      </c>
      <c r="N58" s="11">
        <f>Table1[[#This Row],[TotalVotesCast]]/Table1[[#This Row],[RegisteredVoters]]</f>
        <v>0.99509803921568629</v>
      </c>
      <c r="O58" t="str">
        <f>IF(Table1[[#This Row],[RegisteredVoters]]=Table1[[#This Row],[TotalVotesCast]],"Match","")</f>
        <v/>
      </c>
    </row>
    <row r="59" spans="1:15" ht="13.2">
      <c r="A59" s="1" t="s">
        <v>92</v>
      </c>
      <c r="B59" t="s">
        <v>21</v>
      </c>
      <c r="C59" t="s">
        <v>23</v>
      </c>
      <c r="D59" t="s">
        <v>42</v>
      </c>
      <c r="E59">
        <v>1080</v>
      </c>
      <c r="F59">
        <v>540</v>
      </c>
      <c r="G59">
        <v>505</v>
      </c>
      <c r="H59">
        <v>30</v>
      </c>
      <c r="I59">
        <v>1075</v>
      </c>
      <c r="J59" s="8">
        <f>Table1[[#This Row],[PartyAVotes]]/Table1[[#This Row],[RegisteredVoters]]</f>
        <v>0.5</v>
      </c>
      <c r="K59" s="8">
        <f>Table1[[#This Row],[PartyBVotes]]/Table1[[#This Row],[RegisteredVoters]]</f>
        <v>0.46759259259259262</v>
      </c>
      <c r="L59" s="8">
        <f>Table1[[#This Row],[PartyCVotes]]/Table1[[#This Row],[RegisteredVoters]]</f>
        <v>2.7777777777777776E-2</v>
      </c>
      <c r="M59">
        <f>ABS(Table1[[#This Row],[PartyAVotes]]-Table1[[#This Row],[PartyBVotes]])</f>
        <v>35</v>
      </c>
      <c r="N59" s="11">
        <f>Table1[[#This Row],[TotalVotesCast]]/Table1[[#This Row],[RegisteredVoters]]</f>
        <v>0.99537037037037035</v>
      </c>
      <c r="O59" t="str">
        <f>IF(Table1[[#This Row],[RegisteredVoters]]=Table1[[#This Row],[TotalVotesCast]],"Match","")</f>
        <v/>
      </c>
    </row>
    <row r="60" spans="1:15" ht="13.2">
      <c r="A60" s="1" t="s">
        <v>93</v>
      </c>
      <c r="B60" t="s">
        <v>10</v>
      </c>
      <c r="C60" t="s">
        <v>11</v>
      </c>
      <c r="D60" t="s">
        <v>60</v>
      </c>
      <c r="E60">
        <v>620</v>
      </c>
      <c r="F60">
        <v>310</v>
      </c>
      <c r="G60">
        <v>290</v>
      </c>
      <c r="H60">
        <v>15</v>
      </c>
      <c r="I60">
        <v>615</v>
      </c>
      <c r="J60" s="8">
        <f>Table1[[#This Row],[PartyAVotes]]/Table1[[#This Row],[RegisteredVoters]]</f>
        <v>0.5</v>
      </c>
      <c r="K60" s="8">
        <f>Table1[[#This Row],[PartyBVotes]]/Table1[[#This Row],[RegisteredVoters]]</f>
        <v>0.46774193548387094</v>
      </c>
      <c r="L60" s="8">
        <f>Table1[[#This Row],[PartyCVotes]]/Table1[[#This Row],[RegisteredVoters]]</f>
        <v>2.4193548387096774E-2</v>
      </c>
      <c r="M60">
        <f>ABS(Table1[[#This Row],[PartyAVotes]]-Table1[[#This Row],[PartyBVotes]])</f>
        <v>20</v>
      </c>
      <c r="N60" s="11">
        <f>Table1[[#This Row],[TotalVotesCast]]/Table1[[#This Row],[RegisteredVoters]]</f>
        <v>0.99193548387096775</v>
      </c>
      <c r="O60" t="str">
        <f>IF(Table1[[#This Row],[RegisteredVoters]]=Table1[[#This Row],[TotalVotesCast]],"Match","")</f>
        <v/>
      </c>
    </row>
    <row r="61" spans="1:15" ht="13.2">
      <c r="A61" s="1" t="s">
        <v>94</v>
      </c>
      <c r="B61" t="s">
        <v>15</v>
      </c>
      <c r="C61" t="s">
        <v>16</v>
      </c>
      <c r="D61" t="s">
        <v>60</v>
      </c>
      <c r="E61">
        <v>890</v>
      </c>
      <c r="F61">
        <v>445</v>
      </c>
      <c r="G61">
        <v>415</v>
      </c>
      <c r="H61">
        <v>25</v>
      </c>
      <c r="I61">
        <v>885</v>
      </c>
      <c r="J61" s="8">
        <f>Table1[[#This Row],[PartyAVotes]]/Table1[[#This Row],[RegisteredVoters]]</f>
        <v>0.5</v>
      </c>
      <c r="K61" s="8">
        <f>Table1[[#This Row],[PartyBVotes]]/Table1[[#This Row],[RegisteredVoters]]</f>
        <v>0.46629213483146065</v>
      </c>
      <c r="L61" s="8">
        <f>Table1[[#This Row],[PartyCVotes]]/Table1[[#This Row],[RegisteredVoters]]</f>
        <v>2.8089887640449437E-2</v>
      </c>
      <c r="M61">
        <f>ABS(Table1[[#This Row],[PartyAVotes]]-Table1[[#This Row],[PartyBVotes]])</f>
        <v>30</v>
      </c>
      <c r="N61" s="11">
        <f>Table1[[#This Row],[TotalVotesCast]]/Table1[[#This Row],[RegisteredVoters]]</f>
        <v>0.9943820224719101</v>
      </c>
      <c r="O61" t="str">
        <f>IF(Table1[[#This Row],[RegisteredVoters]]=Table1[[#This Row],[TotalVotesCast]],"Match","")</f>
        <v/>
      </c>
    </row>
    <row r="62" spans="1:15" ht="13.2">
      <c r="A62" s="1" t="s">
        <v>95</v>
      </c>
      <c r="B62" t="s">
        <v>18</v>
      </c>
      <c r="C62" t="s">
        <v>20</v>
      </c>
      <c r="D62" t="s">
        <v>96</v>
      </c>
      <c r="E62">
        <v>960</v>
      </c>
      <c r="F62">
        <v>480</v>
      </c>
      <c r="G62">
        <v>455</v>
      </c>
      <c r="H62">
        <v>20</v>
      </c>
      <c r="I62">
        <v>955</v>
      </c>
      <c r="J62" s="8">
        <f>Table1[[#This Row],[PartyAVotes]]/Table1[[#This Row],[RegisteredVoters]]</f>
        <v>0.5</v>
      </c>
      <c r="K62" s="8">
        <f>Table1[[#This Row],[PartyBVotes]]/Table1[[#This Row],[RegisteredVoters]]</f>
        <v>0.47395833333333331</v>
      </c>
      <c r="L62" s="8">
        <f>Table1[[#This Row],[PartyCVotes]]/Table1[[#This Row],[RegisteredVoters]]</f>
        <v>2.0833333333333332E-2</v>
      </c>
      <c r="M62">
        <f>ABS(Table1[[#This Row],[PartyAVotes]]-Table1[[#This Row],[PartyBVotes]])</f>
        <v>25</v>
      </c>
      <c r="N62" s="11">
        <f>Table1[[#This Row],[TotalVotesCast]]/Table1[[#This Row],[RegisteredVoters]]</f>
        <v>0.99479166666666663</v>
      </c>
      <c r="O62" t="str">
        <f>IF(Table1[[#This Row],[RegisteredVoters]]=Table1[[#This Row],[TotalVotesCast]],"Match","")</f>
        <v/>
      </c>
    </row>
    <row r="63" spans="1:15" ht="13.2">
      <c r="A63" s="1" t="s">
        <v>97</v>
      </c>
      <c r="B63" t="s">
        <v>21</v>
      </c>
      <c r="C63" t="s">
        <v>22</v>
      </c>
      <c r="D63" t="s">
        <v>51</v>
      </c>
      <c r="E63">
        <v>1250</v>
      </c>
      <c r="F63">
        <v>625</v>
      </c>
      <c r="G63">
        <v>590</v>
      </c>
      <c r="H63">
        <v>30</v>
      </c>
      <c r="I63">
        <v>1245</v>
      </c>
      <c r="J63" s="8">
        <f>Table1[[#This Row],[PartyAVotes]]/Table1[[#This Row],[RegisteredVoters]]</f>
        <v>0.5</v>
      </c>
      <c r="K63" s="8">
        <f>Table1[[#This Row],[PartyBVotes]]/Table1[[#This Row],[RegisteredVoters]]</f>
        <v>0.47199999999999998</v>
      </c>
      <c r="L63" s="8">
        <f>Table1[[#This Row],[PartyCVotes]]/Table1[[#This Row],[RegisteredVoters]]</f>
        <v>2.4E-2</v>
      </c>
      <c r="M63">
        <f>ABS(Table1[[#This Row],[PartyAVotes]]-Table1[[#This Row],[PartyBVotes]])</f>
        <v>35</v>
      </c>
      <c r="N63" s="11">
        <f>Table1[[#This Row],[TotalVotesCast]]/Table1[[#This Row],[RegisteredVoters]]</f>
        <v>0.996</v>
      </c>
      <c r="O63" t="str">
        <f>IF(Table1[[#This Row],[RegisteredVoters]]=Table1[[#This Row],[TotalVotesCast]],"Match","")</f>
        <v/>
      </c>
    </row>
    <row r="64" spans="1:15" ht="13.2">
      <c r="A64" s="1" t="s">
        <v>98</v>
      </c>
      <c r="B64" t="s">
        <v>10</v>
      </c>
      <c r="C64" t="s">
        <v>14</v>
      </c>
      <c r="D64" t="s">
        <v>60</v>
      </c>
      <c r="E64">
        <v>690</v>
      </c>
      <c r="F64">
        <v>345</v>
      </c>
      <c r="G64">
        <v>315</v>
      </c>
      <c r="H64">
        <v>20</v>
      </c>
      <c r="I64">
        <v>680</v>
      </c>
      <c r="J64" s="8">
        <f>Table1[[#This Row],[PartyAVotes]]/Table1[[#This Row],[RegisteredVoters]]</f>
        <v>0.5</v>
      </c>
      <c r="K64" s="8">
        <f>Table1[[#This Row],[PartyBVotes]]/Table1[[#This Row],[RegisteredVoters]]</f>
        <v>0.45652173913043476</v>
      </c>
      <c r="L64" s="8">
        <f>Table1[[#This Row],[PartyCVotes]]/Table1[[#This Row],[RegisteredVoters]]</f>
        <v>2.8985507246376812E-2</v>
      </c>
      <c r="M64">
        <f>ABS(Table1[[#This Row],[PartyAVotes]]-Table1[[#This Row],[PartyBVotes]])</f>
        <v>30</v>
      </c>
      <c r="N64" s="11">
        <f>Table1[[#This Row],[TotalVotesCast]]/Table1[[#This Row],[RegisteredVoters]]</f>
        <v>0.98550724637681164</v>
      </c>
      <c r="O64" t="str">
        <f>IF(Table1[[#This Row],[RegisteredVoters]]=Table1[[#This Row],[TotalVotesCast]],"Match","")</f>
        <v/>
      </c>
    </row>
    <row r="65" spans="1:15" ht="13.2">
      <c r="A65" s="1" t="s">
        <v>99</v>
      </c>
      <c r="B65" t="s">
        <v>15</v>
      </c>
      <c r="C65" t="s">
        <v>17</v>
      </c>
      <c r="D65" t="s">
        <v>42</v>
      </c>
      <c r="E65">
        <v>750</v>
      </c>
      <c r="F65">
        <v>375</v>
      </c>
      <c r="G65">
        <v>350</v>
      </c>
      <c r="H65">
        <v>20</v>
      </c>
      <c r="I65">
        <v>745</v>
      </c>
      <c r="J65" s="8">
        <f>Table1[[#This Row],[PartyAVotes]]/Table1[[#This Row],[RegisteredVoters]]</f>
        <v>0.5</v>
      </c>
      <c r="K65" s="8">
        <f>Table1[[#This Row],[PartyBVotes]]/Table1[[#This Row],[RegisteredVoters]]</f>
        <v>0.46666666666666667</v>
      </c>
      <c r="L65" s="8">
        <f>Table1[[#This Row],[PartyCVotes]]/Table1[[#This Row],[RegisteredVoters]]</f>
        <v>2.6666666666666668E-2</v>
      </c>
      <c r="M65">
        <f>ABS(Table1[[#This Row],[PartyAVotes]]-Table1[[#This Row],[PartyBVotes]])</f>
        <v>25</v>
      </c>
      <c r="N65" s="11">
        <f>Table1[[#This Row],[TotalVotesCast]]/Table1[[#This Row],[RegisteredVoters]]</f>
        <v>0.99333333333333329</v>
      </c>
      <c r="O65" t="str">
        <f>IF(Table1[[#This Row],[RegisteredVoters]]=Table1[[#This Row],[TotalVotesCast]],"Match","")</f>
        <v/>
      </c>
    </row>
    <row r="66" spans="1:15" ht="13.2">
      <c r="A66" s="1" t="s">
        <v>100</v>
      </c>
      <c r="B66" t="s">
        <v>18</v>
      </c>
      <c r="C66" t="s">
        <v>19</v>
      </c>
      <c r="D66" t="s">
        <v>69</v>
      </c>
      <c r="E66">
        <v>1030</v>
      </c>
      <c r="F66">
        <v>515</v>
      </c>
      <c r="G66">
        <v>480</v>
      </c>
      <c r="H66">
        <v>30</v>
      </c>
      <c r="I66">
        <v>1025</v>
      </c>
      <c r="J66" s="8">
        <f>Table1[[#This Row],[PartyAVotes]]/Table1[[#This Row],[RegisteredVoters]]</f>
        <v>0.5</v>
      </c>
      <c r="K66" s="8">
        <f>Table1[[#This Row],[PartyBVotes]]/Table1[[#This Row],[RegisteredVoters]]</f>
        <v>0.46601941747572817</v>
      </c>
      <c r="L66" s="8">
        <f>Table1[[#This Row],[PartyCVotes]]/Table1[[#This Row],[RegisteredVoters]]</f>
        <v>2.9126213592233011E-2</v>
      </c>
      <c r="M66">
        <f>ABS(Table1[[#This Row],[PartyAVotes]]-Table1[[#This Row],[PartyBVotes]])</f>
        <v>35</v>
      </c>
      <c r="N66" s="11">
        <f>Table1[[#This Row],[TotalVotesCast]]/Table1[[#This Row],[RegisteredVoters]]</f>
        <v>0.99514563106796117</v>
      </c>
      <c r="O66" t="str">
        <f>IF(Table1[[#This Row],[RegisteredVoters]]=Table1[[#This Row],[TotalVotesCast]],"Match","")</f>
        <v/>
      </c>
    </row>
    <row r="67" spans="1:15" ht="13.2">
      <c r="A67" s="1" t="s">
        <v>101</v>
      </c>
      <c r="B67" t="s">
        <v>21</v>
      </c>
      <c r="C67" t="s">
        <v>23</v>
      </c>
      <c r="D67" t="s">
        <v>51</v>
      </c>
      <c r="E67">
        <v>1090</v>
      </c>
      <c r="F67">
        <v>545</v>
      </c>
      <c r="G67">
        <v>510</v>
      </c>
      <c r="H67">
        <v>30</v>
      </c>
      <c r="I67">
        <v>1085</v>
      </c>
      <c r="J67" s="8">
        <f>Table1[[#This Row],[PartyAVotes]]/Table1[[#This Row],[RegisteredVoters]]</f>
        <v>0.5</v>
      </c>
      <c r="K67" s="8">
        <f>Table1[[#This Row],[PartyBVotes]]/Table1[[#This Row],[RegisteredVoters]]</f>
        <v>0.46788990825688076</v>
      </c>
      <c r="L67" s="8">
        <f>Table1[[#This Row],[PartyCVotes]]/Table1[[#This Row],[RegisteredVoters]]</f>
        <v>2.7522935779816515E-2</v>
      </c>
      <c r="M67">
        <f>ABS(Table1[[#This Row],[PartyAVotes]]-Table1[[#This Row],[PartyBVotes]])</f>
        <v>35</v>
      </c>
      <c r="N67" s="11">
        <f>Table1[[#This Row],[TotalVotesCast]]/Table1[[#This Row],[RegisteredVoters]]</f>
        <v>0.99541284403669728</v>
      </c>
      <c r="O67" t="str">
        <f>IF(Table1[[#This Row],[RegisteredVoters]]=Table1[[#This Row],[TotalVotesCast]],"Match","")</f>
        <v/>
      </c>
    </row>
    <row r="68" spans="1:15" ht="13.2">
      <c r="A68" s="1" t="s">
        <v>102</v>
      </c>
      <c r="B68" t="s">
        <v>10</v>
      </c>
      <c r="C68" t="s">
        <v>11</v>
      </c>
      <c r="D68" t="s">
        <v>69</v>
      </c>
      <c r="E68">
        <v>630</v>
      </c>
      <c r="F68">
        <v>315</v>
      </c>
      <c r="G68">
        <v>295</v>
      </c>
      <c r="H68">
        <v>15</v>
      </c>
      <c r="I68">
        <v>625</v>
      </c>
      <c r="J68" s="8">
        <f>Table1[[#This Row],[PartyAVotes]]/Table1[[#This Row],[RegisteredVoters]]</f>
        <v>0.5</v>
      </c>
      <c r="K68" s="8">
        <f>Table1[[#This Row],[PartyBVotes]]/Table1[[#This Row],[RegisteredVoters]]</f>
        <v>0.46825396825396826</v>
      </c>
      <c r="L68" s="8">
        <f>Table1[[#This Row],[PartyCVotes]]/Table1[[#This Row],[RegisteredVoters]]</f>
        <v>2.3809523809523808E-2</v>
      </c>
      <c r="M68">
        <f>ABS(Table1[[#This Row],[PartyAVotes]]-Table1[[#This Row],[PartyBVotes]])</f>
        <v>20</v>
      </c>
      <c r="N68" s="11">
        <f>Table1[[#This Row],[TotalVotesCast]]/Table1[[#This Row],[RegisteredVoters]]</f>
        <v>0.99206349206349209</v>
      </c>
      <c r="O68" t="str">
        <f>IF(Table1[[#This Row],[RegisteredVoters]]=Table1[[#This Row],[TotalVotesCast]],"Match","")</f>
        <v/>
      </c>
    </row>
    <row r="69" spans="1:15" ht="13.2">
      <c r="A69" s="1" t="s">
        <v>103</v>
      </c>
      <c r="B69" t="s">
        <v>15</v>
      </c>
      <c r="C69" t="s">
        <v>16</v>
      </c>
      <c r="D69" t="s">
        <v>69</v>
      </c>
      <c r="E69">
        <v>900</v>
      </c>
      <c r="F69">
        <v>450</v>
      </c>
      <c r="G69">
        <v>420</v>
      </c>
      <c r="H69">
        <v>25</v>
      </c>
      <c r="I69">
        <v>895</v>
      </c>
      <c r="J69" s="8">
        <f>Table1[[#This Row],[PartyAVotes]]/Table1[[#This Row],[RegisteredVoters]]</f>
        <v>0.5</v>
      </c>
      <c r="K69" s="8">
        <f>Table1[[#This Row],[PartyBVotes]]/Table1[[#This Row],[RegisteredVoters]]</f>
        <v>0.46666666666666667</v>
      </c>
      <c r="L69" s="8">
        <f>Table1[[#This Row],[PartyCVotes]]/Table1[[#This Row],[RegisteredVoters]]</f>
        <v>2.7777777777777776E-2</v>
      </c>
      <c r="M69">
        <f>ABS(Table1[[#This Row],[PartyAVotes]]-Table1[[#This Row],[PartyBVotes]])</f>
        <v>30</v>
      </c>
      <c r="N69" s="11">
        <f>Table1[[#This Row],[TotalVotesCast]]/Table1[[#This Row],[RegisteredVoters]]</f>
        <v>0.99444444444444446</v>
      </c>
      <c r="O69" t="str">
        <f>IF(Table1[[#This Row],[RegisteredVoters]]=Table1[[#This Row],[TotalVotesCast]],"Match","")</f>
        <v/>
      </c>
    </row>
    <row r="70" spans="1:15" ht="13.2">
      <c r="A70" s="1" t="s">
        <v>104</v>
      </c>
      <c r="B70" t="s">
        <v>18</v>
      </c>
      <c r="C70" t="s">
        <v>20</v>
      </c>
      <c r="D70" t="s">
        <v>105</v>
      </c>
      <c r="E70">
        <v>970</v>
      </c>
      <c r="F70">
        <v>485</v>
      </c>
      <c r="G70">
        <v>460</v>
      </c>
      <c r="H70">
        <v>20</v>
      </c>
      <c r="I70">
        <v>965</v>
      </c>
      <c r="J70" s="8">
        <f>Table1[[#This Row],[PartyAVotes]]/Table1[[#This Row],[RegisteredVoters]]</f>
        <v>0.5</v>
      </c>
      <c r="K70" s="8">
        <f>Table1[[#This Row],[PartyBVotes]]/Table1[[#This Row],[RegisteredVoters]]</f>
        <v>0.47422680412371132</v>
      </c>
      <c r="L70" s="8">
        <f>Table1[[#This Row],[PartyCVotes]]/Table1[[#This Row],[RegisteredVoters]]</f>
        <v>2.0618556701030927E-2</v>
      </c>
      <c r="M70">
        <f>ABS(Table1[[#This Row],[PartyAVotes]]-Table1[[#This Row],[PartyBVotes]])</f>
        <v>25</v>
      </c>
      <c r="N70" s="11">
        <f>Table1[[#This Row],[TotalVotesCast]]/Table1[[#This Row],[RegisteredVoters]]</f>
        <v>0.99484536082474229</v>
      </c>
      <c r="O70" t="str">
        <f>IF(Table1[[#This Row],[RegisteredVoters]]=Table1[[#This Row],[TotalVotesCast]],"Match","")</f>
        <v/>
      </c>
    </row>
    <row r="71" spans="1:15" ht="13.2">
      <c r="A71" s="1" t="s">
        <v>106</v>
      </c>
      <c r="B71" t="s">
        <v>21</v>
      </c>
      <c r="C71" t="s">
        <v>22</v>
      </c>
      <c r="D71" t="s">
        <v>60</v>
      </c>
      <c r="E71">
        <v>1260</v>
      </c>
      <c r="F71">
        <v>630</v>
      </c>
      <c r="G71">
        <v>595</v>
      </c>
      <c r="H71">
        <v>30</v>
      </c>
      <c r="I71">
        <v>1255</v>
      </c>
      <c r="J71" s="8">
        <f>Table1[[#This Row],[PartyAVotes]]/Table1[[#This Row],[RegisteredVoters]]</f>
        <v>0.5</v>
      </c>
      <c r="K71" s="8">
        <f>Table1[[#This Row],[PartyBVotes]]/Table1[[#This Row],[RegisteredVoters]]</f>
        <v>0.47222222222222221</v>
      </c>
      <c r="L71" s="8">
        <f>Table1[[#This Row],[PartyCVotes]]/Table1[[#This Row],[RegisteredVoters]]</f>
        <v>2.3809523809523808E-2</v>
      </c>
      <c r="M71">
        <f>ABS(Table1[[#This Row],[PartyAVotes]]-Table1[[#This Row],[PartyBVotes]])</f>
        <v>35</v>
      </c>
      <c r="N71" s="11">
        <f>Table1[[#This Row],[TotalVotesCast]]/Table1[[#This Row],[RegisteredVoters]]</f>
        <v>0.99603174603174605</v>
      </c>
      <c r="O71" t="str">
        <f>IF(Table1[[#This Row],[RegisteredVoters]]=Table1[[#This Row],[TotalVotesCast]],"Match","")</f>
        <v/>
      </c>
    </row>
    <row r="72" spans="1:15" ht="13.2">
      <c r="A72" s="1" t="s">
        <v>107</v>
      </c>
      <c r="B72" t="s">
        <v>10</v>
      </c>
      <c r="C72" t="s">
        <v>14</v>
      </c>
      <c r="D72" t="s">
        <v>69</v>
      </c>
      <c r="E72">
        <v>700</v>
      </c>
      <c r="F72">
        <v>350</v>
      </c>
      <c r="G72">
        <v>320</v>
      </c>
      <c r="H72">
        <v>20</v>
      </c>
      <c r="I72">
        <v>690</v>
      </c>
      <c r="J72" s="8">
        <f>Table1[[#This Row],[PartyAVotes]]/Table1[[#This Row],[RegisteredVoters]]</f>
        <v>0.5</v>
      </c>
      <c r="K72" s="8">
        <f>Table1[[#This Row],[PartyBVotes]]/Table1[[#This Row],[RegisteredVoters]]</f>
        <v>0.45714285714285713</v>
      </c>
      <c r="L72" s="8">
        <f>Table1[[#This Row],[PartyCVotes]]/Table1[[#This Row],[RegisteredVoters]]</f>
        <v>2.8571428571428571E-2</v>
      </c>
      <c r="M72">
        <f>ABS(Table1[[#This Row],[PartyAVotes]]-Table1[[#This Row],[PartyBVotes]])</f>
        <v>30</v>
      </c>
      <c r="N72" s="11">
        <f>Table1[[#This Row],[TotalVotesCast]]/Table1[[#This Row],[RegisteredVoters]]</f>
        <v>0.98571428571428577</v>
      </c>
      <c r="O72" t="str">
        <f>IF(Table1[[#This Row],[RegisteredVoters]]=Table1[[#This Row],[TotalVotesCast]],"Match","")</f>
        <v/>
      </c>
    </row>
    <row r="73" spans="1:15" ht="13.2">
      <c r="A73" s="1" t="s">
        <v>108</v>
      </c>
      <c r="B73" t="s">
        <v>15</v>
      </c>
      <c r="C73" t="s">
        <v>17</v>
      </c>
      <c r="D73" t="s">
        <v>51</v>
      </c>
      <c r="E73">
        <v>760</v>
      </c>
      <c r="F73">
        <v>380</v>
      </c>
      <c r="G73">
        <v>355</v>
      </c>
      <c r="H73">
        <v>20</v>
      </c>
      <c r="I73">
        <v>755</v>
      </c>
      <c r="J73" s="8">
        <f>Table1[[#This Row],[PartyAVotes]]/Table1[[#This Row],[RegisteredVoters]]</f>
        <v>0.5</v>
      </c>
      <c r="K73" s="8">
        <f>Table1[[#This Row],[PartyBVotes]]/Table1[[#This Row],[RegisteredVoters]]</f>
        <v>0.46710526315789475</v>
      </c>
      <c r="L73" s="8">
        <f>Table1[[#This Row],[PartyCVotes]]/Table1[[#This Row],[RegisteredVoters]]</f>
        <v>2.6315789473684209E-2</v>
      </c>
      <c r="M73">
        <f>ABS(Table1[[#This Row],[PartyAVotes]]-Table1[[#This Row],[PartyBVotes]])</f>
        <v>25</v>
      </c>
      <c r="N73" s="11">
        <f>Table1[[#This Row],[TotalVotesCast]]/Table1[[#This Row],[RegisteredVoters]]</f>
        <v>0.99342105263157898</v>
      </c>
      <c r="O73" t="str">
        <f>IF(Table1[[#This Row],[RegisteredVoters]]=Table1[[#This Row],[TotalVotesCast]],"Match","")</f>
        <v/>
      </c>
    </row>
    <row r="74" spans="1:15" ht="13.2">
      <c r="A74" s="1" t="s">
        <v>109</v>
      </c>
      <c r="B74" t="s">
        <v>18</v>
      </c>
      <c r="C74" t="s">
        <v>19</v>
      </c>
      <c r="D74" t="s">
        <v>78</v>
      </c>
      <c r="E74">
        <v>1040</v>
      </c>
      <c r="F74">
        <v>520</v>
      </c>
      <c r="G74">
        <v>485</v>
      </c>
      <c r="H74">
        <v>30</v>
      </c>
      <c r="I74">
        <v>1035</v>
      </c>
      <c r="J74" s="8">
        <f>Table1[[#This Row],[PartyAVotes]]/Table1[[#This Row],[RegisteredVoters]]</f>
        <v>0.5</v>
      </c>
      <c r="K74" s="8">
        <f>Table1[[#This Row],[PartyBVotes]]/Table1[[#This Row],[RegisteredVoters]]</f>
        <v>0.46634615384615385</v>
      </c>
      <c r="L74" s="8">
        <f>Table1[[#This Row],[PartyCVotes]]/Table1[[#This Row],[RegisteredVoters]]</f>
        <v>2.8846153846153848E-2</v>
      </c>
      <c r="M74">
        <f>ABS(Table1[[#This Row],[PartyAVotes]]-Table1[[#This Row],[PartyBVotes]])</f>
        <v>35</v>
      </c>
      <c r="N74" s="11">
        <f>Table1[[#This Row],[TotalVotesCast]]/Table1[[#This Row],[RegisteredVoters]]</f>
        <v>0.99519230769230771</v>
      </c>
      <c r="O74" t="str">
        <f>IF(Table1[[#This Row],[RegisteredVoters]]=Table1[[#This Row],[TotalVotesCast]],"Match","")</f>
        <v/>
      </c>
    </row>
    <row r="75" spans="1:15" ht="13.2">
      <c r="A75" s="1" t="s">
        <v>110</v>
      </c>
      <c r="B75" t="s">
        <v>21</v>
      </c>
      <c r="C75" t="s">
        <v>23</v>
      </c>
      <c r="D75" t="s">
        <v>60</v>
      </c>
      <c r="E75">
        <v>1100</v>
      </c>
      <c r="F75">
        <v>550</v>
      </c>
      <c r="G75">
        <v>515</v>
      </c>
      <c r="H75">
        <v>30</v>
      </c>
      <c r="I75">
        <v>1095</v>
      </c>
      <c r="J75" s="8">
        <f>Table1[[#This Row],[PartyAVotes]]/Table1[[#This Row],[RegisteredVoters]]</f>
        <v>0.5</v>
      </c>
      <c r="K75" s="8">
        <f>Table1[[#This Row],[PartyBVotes]]/Table1[[#This Row],[RegisteredVoters]]</f>
        <v>0.4681818181818182</v>
      </c>
      <c r="L75" s="8">
        <f>Table1[[#This Row],[PartyCVotes]]/Table1[[#This Row],[RegisteredVoters]]</f>
        <v>2.7272727272727271E-2</v>
      </c>
      <c r="M75">
        <f>ABS(Table1[[#This Row],[PartyAVotes]]-Table1[[#This Row],[PartyBVotes]])</f>
        <v>35</v>
      </c>
      <c r="N75" s="11">
        <f>Table1[[#This Row],[TotalVotesCast]]/Table1[[#This Row],[RegisteredVoters]]</f>
        <v>0.99545454545454548</v>
      </c>
      <c r="O75" t="str">
        <f>IF(Table1[[#This Row],[RegisteredVoters]]=Table1[[#This Row],[TotalVotesCast]],"Match","")</f>
        <v/>
      </c>
    </row>
    <row r="76" spans="1:15" ht="13.2">
      <c r="A76" s="1" t="s">
        <v>111</v>
      </c>
      <c r="B76" t="s">
        <v>10</v>
      </c>
      <c r="C76" t="s">
        <v>11</v>
      </c>
      <c r="D76" t="s">
        <v>78</v>
      </c>
      <c r="E76">
        <v>640</v>
      </c>
      <c r="F76">
        <v>320</v>
      </c>
      <c r="G76">
        <v>300</v>
      </c>
      <c r="H76">
        <v>15</v>
      </c>
      <c r="I76">
        <v>635</v>
      </c>
      <c r="J76" s="8">
        <f>Table1[[#This Row],[PartyAVotes]]/Table1[[#This Row],[RegisteredVoters]]</f>
        <v>0.5</v>
      </c>
      <c r="K76" s="8">
        <f>Table1[[#This Row],[PartyBVotes]]/Table1[[#This Row],[RegisteredVoters]]</f>
        <v>0.46875</v>
      </c>
      <c r="L76" s="8">
        <f>Table1[[#This Row],[PartyCVotes]]/Table1[[#This Row],[RegisteredVoters]]</f>
        <v>2.34375E-2</v>
      </c>
      <c r="M76">
        <f>ABS(Table1[[#This Row],[PartyAVotes]]-Table1[[#This Row],[PartyBVotes]])</f>
        <v>20</v>
      </c>
      <c r="N76" s="11">
        <f>Table1[[#This Row],[TotalVotesCast]]/Table1[[#This Row],[RegisteredVoters]]</f>
        <v>0.9921875</v>
      </c>
      <c r="O76" t="str">
        <f>IF(Table1[[#This Row],[RegisteredVoters]]=Table1[[#This Row],[TotalVotesCast]],"Match","")</f>
        <v/>
      </c>
    </row>
    <row r="77" spans="1:15" ht="13.2">
      <c r="A77" s="1" t="s">
        <v>112</v>
      </c>
      <c r="B77" t="s">
        <v>15</v>
      </c>
      <c r="C77" t="s">
        <v>16</v>
      </c>
      <c r="D77" t="s">
        <v>78</v>
      </c>
      <c r="E77">
        <v>910</v>
      </c>
      <c r="F77">
        <v>455</v>
      </c>
      <c r="G77">
        <v>425</v>
      </c>
      <c r="H77">
        <v>25</v>
      </c>
      <c r="I77">
        <v>905</v>
      </c>
      <c r="J77" s="8">
        <f>Table1[[#This Row],[PartyAVotes]]/Table1[[#This Row],[RegisteredVoters]]</f>
        <v>0.5</v>
      </c>
      <c r="K77" s="8">
        <f>Table1[[#This Row],[PartyBVotes]]/Table1[[#This Row],[RegisteredVoters]]</f>
        <v>0.46703296703296704</v>
      </c>
      <c r="L77" s="8">
        <f>Table1[[#This Row],[PartyCVotes]]/Table1[[#This Row],[RegisteredVoters]]</f>
        <v>2.7472527472527472E-2</v>
      </c>
      <c r="M77">
        <f>ABS(Table1[[#This Row],[PartyAVotes]]-Table1[[#This Row],[PartyBVotes]])</f>
        <v>30</v>
      </c>
      <c r="N77" s="11">
        <f>Table1[[#This Row],[TotalVotesCast]]/Table1[[#This Row],[RegisteredVoters]]</f>
        <v>0.99450549450549453</v>
      </c>
      <c r="O77" t="str">
        <f>IF(Table1[[#This Row],[RegisteredVoters]]=Table1[[#This Row],[TotalVotesCast]],"Match","")</f>
        <v/>
      </c>
    </row>
    <row r="78" spans="1:15" ht="13.2">
      <c r="A78" s="1" t="s">
        <v>113</v>
      </c>
      <c r="B78" t="s">
        <v>18</v>
      </c>
      <c r="C78" t="s">
        <v>20</v>
      </c>
      <c r="D78" t="s">
        <v>114</v>
      </c>
      <c r="E78">
        <v>980</v>
      </c>
      <c r="F78">
        <v>490</v>
      </c>
      <c r="G78">
        <v>465</v>
      </c>
      <c r="H78">
        <v>20</v>
      </c>
      <c r="I78">
        <v>975</v>
      </c>
      <c r="J78" s="8">
        <f>Table1[[#This Row],[PartyAVotes]]/Table1[[#This Row],[RegisteredVoters]]</f>
        <v>0.5</v>
      </c>
      <c r="K78" s="8">
        <f>Table1[[#This Row],[PartyBVotes]]/Table1[[#This Row],[RegisteredVoters]]</f>
        <v>0.47448979591836737</v>
      </c>
      <c r="L78" s="8">
        <f>Table1[[#This Row],[PartyCVotes]]/Table1[[#This Row],[RegisteredVoters]]</f>
        <v>2.0408163265306121E-2</v>
      </c>
      <c r="M78">
        <f>ABS(Table1[[#This Row],[PartyAVotes]]-Table1[[#This Row],[PartyBVotes]])</f>
        <v>25</v>
      </c>
      <c r="N78" s="11">
        <f>Table1[[#This Row],[TotalVotesCast]]/Table1[[#This Row],[RegisteredVoters]]</f>
        <v>0.99489795918367352</v>
      </c>
      <c r="O78" t="str">
        <f>IF(Table1[[#This Row],[RegisteredVoters]]=Table1[[#This Row],[TotalVotesCast]],"Match","")</f>
        <v/>
      </c>
    </row>
    <row r="79" spans="1:15" ht="13.2">
      <c r="A79" s="1" t="s">
        <v>115</v>
      </c>
      <c r="B79" t="s">
        <v>21</v>
      </c>
      <c r="C79" t="s">
        <v>22</v>
      </c>
      <c r="D79" t="s">
        <v>69</v>
      </c>
      <c r="E79">
        <v>1270</v>
      </c>
      <c r="F79">
        <v>635</v>
      </c>
      <c r="G79">
        <v>600</v>
      </c>
      <c r="H79">
        <v>30</v>
      </c>
      <c r="I79">
        <v>1265</v>
      </c>
      <c r="J79" s="8">
        <f>Table1[[#This Row],[PartyAVotes]]/Table1[[#This Row],[RegisteredVoters]]</f>
        <v>0.5</v>
      </c>
      <c r="K79" s="8">
        <f>Table1[[#This Row],[PartyBVotes]]/Table1[[#This Row],[RegisteredVoters]]</f>
        <v>0.47244094488188976</v>
      </c>
      <c r="L79" s="8">
        <f>Table1[[#This Row],[PartyCVotes]]/Table1[[#This Row],[RegisteredVoters]]</f>
        <v>2.3622047244094488E-2</v>
      </c>
      <c r="M79">
        <f>ABS(Table1[[#This Row],[PartyAVotes]]-Table1[[#This Row],[PartyBVotes]])</f>
        <v>35</v>
      </c>
      <c r="N79" s="11">
        <f>Table1[[#This Row],[TotalVotesCast]]/Table1[[#This Row],[RegisteredVoters]]</f>
        <v>0.99606299212598426</v>
      </c>
      <c r="O79" t="str">
        <f>IF(Table1[[#This Row],[RegisteredVoters]]=Table1[[#This Row],[TotalVotesCast]],"Match","")</f>
        <v/>
      </c>
    </row>
    <row r="80" spans="1:15" ht="13.2">
      <c r="A80" s="1" t="s">
        <v>116</v>
      </c>
      <c r="B80" t="s">
        <v>10</v>
      </c>
      <c r="C80" t="s">
        <v>14</v>
      </c>
      <c r="D80" t="s">
        <v>78</v>
      </c>
      <c r="E80">
        <v>710</v>
      </c>
      <c r="F80">
        <v>355</v>
      </c>
      <c r="G80">
        <v>325</v>
      </c>
      <c r="H80">
        <v>20</v>
      </c>
      <c r="I80">
        <v>700</v>
      </c>
      <c r="J80" s="8">
        <f>Table1[[#This Row],[PartyAVotes]]/Table1[[#This Row],[RegisteredVoters]]</f>
        <v>0.5</v>
      </c>
      <c r="K80" s="8">
        <f>Table1[[#This Row],[PartyBVotes]]/Table1[[#This Row],[RegisteredVoters]]</f>
        <v>0.45774647887323944</v>
      </c>
      <c r="L80" s="8">
        <f>Table1[[#This Row],[PartyCVotes]]/Table1[[#This Row],[RegisteredVoters]]</f>
        <v>2.8169014084507043E-2</v>
      </c>
      <c r="M80">
        <f>ABS(Table1[[#This Row],[PartyAVotes]]-Table1[[#This Row],[PartyBVotes]])</f>
        <v>30</v>
      </c>
      <c r="N80" s="11">
        <f>Table1[[#This Row],[TotalVotesCast]]/Table1[[#This Row],[RegisteredVoters]]</f>
        <v>0.9859154929577465</v>
      </c>
      <c r="O80" t="str">
        <f>IF(Table1[[#This Row],[RegisteredVoters]]=Table1[[#This Row],[TotalVotesCast]],"Match","")</f>
        <v/>
      </c>
    </row>
    <row r="81" spans="1:15" ht="13.2">
      <c r="A81" s="1" t="s">
        <v>117</v>
      </c>
      <c r="B81" t="s">
        <v>15</v>
      </c>
      <c r="C81" t="s">
        <v>17</v>
      </c>
      <c r="D81" t="s">
        <v>60</v>
      </c>
      <c r="E81">
        <v>770</v>
      </c>
      <c r="F81">
        <v>385</v>
      </c>
      <c r="G81">
        <v>360</v>
      </c>
      <c r="H81">
        <v>20</v>
      </c>
      <c r="I81">
        <v>765</v>
      </c>
      <c r="J81" s="8">
        <f>Table1[[#This Row],[PartyAVotes]]/Table1[[#This Row],[RegisteredVoters]]</f>
        <v>0.5</v>
      </c>
      <c r="K81" s="8">
        <f>Table1[[#This Row],[PartyBVotes]]/Table1[[#This Row],[RegisteredVoters]]</f>
        <v>0.46753246753246752</v>
      </c>
      <c r="L81" s="8">
        <f>Table1[[#This Row],[PartyCVotes]]/Table1[[#This Row],[RegisteredVoters]]</f>
        <v>2.5974025974025976E-2</v>
      </c>
      <c r="M81">
        <f>ABS(Table1[[#This Row],[PartyAVotes]]-Table1[[#This Row],[PartyBVotes]])</f>
        <v>25</v>
      </c>
      <c r="N81" s="11">
        <f>Table1[[#This Row],[TotalVotesCast]]/Table1[[#This Row],[RegisteredVoters]]</f>
        <v>0.99350649350649356</v>
      </c>
      <c r="O81" t="str">
        <f>IF(Table1[[#This Row],[RegisteredVoters]]=Table1[[#This Row],[TotalVotesCast]],"Match","")</f>
        <v/>
      </c>
    </row>
    <row r="82" spans="1:15" ht="13.2">
      <c r="A82" s="1" t="s">
        <v>118</v>
      </c>
      <c r="B82" t="s">
        <v>18</v>
      </c>
      <c r="C82" t="s">
        <v>19</v>
      </c>
      <c r="D82" t="s">
        <v>87</v>
      </c>
      <c r="E82">
        <v>1050</v>
      </c>
      <c r="F82">
        <v>525</v>
      </c>
      <c r="G82">
        <v>490</v>
      </c>
      <c r="H82">
        <v>30</v>
      </c>
      <c r="I82">
        <v>1045</v>
      </c>
      <c r="J82" s="8">
        <f>Table1[[#This Row],[PartyAVotes]]/Table1[[#This Row],[RegisteredVoters]]</f>
        <v>0.5</v>
      </c>
      <c r="K82" s="8">
        <f>Table1[[#This Row],[PartyBVotes]]/Table1[[#This Row],[RegisteredVoters]]</f>
        <v>0.46666666666666667</v>
      </c>
      <c r="L82" s="8">
        <f>Table1[[#This Row],[PartyCVotes]]/Table1[[#This Row],[RegisteredVoters]]</f>
        <v>2.8571428571428571E-2</v>
      </c>
      <c r="M82">
        <f>ABS(Table1[[#This Row],[PartyAVotes]]-Table1[[#This Row],[PartyBVotes]])</f>
        <v>35</v>
      </c>
      <c r="N82" s="11">
        <f>Table1[[#This Row],[TotalVotesCast]]/Table1[[#This Row],[RegisteredVoters]]</f>
        <v>0.99523809523809526</v>
      </c>
      <c r="O82" t="str">
        <f>IF(Table1[[#This Row],[RegisteredVoters]]=Table1[[#This Row],[TotalVotesCast]],"Match","")</f>
        <v/>
      </c>
    </row>
    <row r="83" spans="1:15" ht="13.2">
      <c r="A83" s="1" t="s">
        <v>119</v>
      </c>
      <c r="B83" t="s">
        <v>21</v>
      </c>
      <c r="C83" t="s">
        <v>23</v>
      </c>
      <c r="D83" t="s">
        <v>69</v>
      </c>
      <c r="E83">
        <v>1110</v>
      </c>
      <c r="F83">
        <v>555</v>
      </c>
      <c r="G83">
        <v>520</v>
      </c>
      <c r="H83">
        <v>30</v>
      </c>
      <c r="I83">
        <v>1105</v>
      </c>
      <c r="J83" s="8">
        <f>Table1[[#This Row],[PartyAVotes]]/Table1[[#This Row],[RegisteredVoters]]</f>
        <v>0.5</v>
      </c>
      <c r="K83" s="8">
        <f>Table1[[#This Row],[PartyBVotes]]/Table1[[#This Row],[RegisteredVoters]]</f>
        <v>0.46846846846846846</v>
      </c>
      <c r="L83" s="8">
        <f>Table1[[#This Row],[PartyCVotes]]/Table1[[#This Row],[RegisteredVoters]]</f>
        <v>2.7027027027027029E-2</v>
      </c>
      <c r="M83">
        <f>ABS(Table1[[#This Row],[PartyAVotes]]-Table1[[#This Row],[PartyBVotes]])</f>
        <v>35</v>
      </c>
      <c r="N83" s="11">
        <f>Table1[[#This Row],[TotalVotesCast]]/Table1[[#This Row],[RegisteredVoters]]</f>
        <v>0.99549549549549554</v>
      </c>
      <c r="O83" t="str">
        <f>IF(Table1[[#This Row],[RegisteredVoters]]=Table1[[#This Row],[TotalVotesCast]],"Match","")</f>
        <v/>
      </c>
    </row>
    <row r="84" spans="1:15" ht="13.2">
      <c r="A84" s="1" t="s">
        <v>120</v>
      </c>
      <c r="B84" t="s">
        <v>10</v>
      </c>
      <c r="C84" t="s">
        <v>11</v>
      </c>
      <c r="D84" t="s">
        <v>87</v>
      </c>
      <c r="E84">
        <v>650</v>
      </c>
      <c r="F84">
        <v>325</v>
      </c>
      <c r="G84">
        <v>305</v>
      </c>
      <c r="H84">
        <v>15</v>
      </c>
      <c r="I84">
        <v>645</v>
      </c>
      <c r="J84" s="8">
        <f>Table1[[#This Row],[PartyAVotes]]/Table1[[#This Row],[RegisteredVoters]]</f>
        <v>0.5</v>
      </c>
      <c r="K84" s="8">
        <f>Table1[[#This Row],[PartyBVotes]]/Table1[[#This Row],[RegisteredVoters]]</f>
        <v>0.46923076923076923</v>
      </c>
      <c r="L84" s="8">
        <f>Table1[[#This Row],[PartyCVotes]]/Table1[[#This Row],[RegisteredVoters]]</f>
        <v>2.3076923076923078E-2</v>
      </c>
      <c r="M84">
        <f>ABS(Table1[[#This Row],[PartyAVotes]]-Table1[[#This Row],[PartyBVotes]])</f>
        <v>20</v>
      </c>
      <c r="N84" s="11">
        <f>Table1[[#This Row],[TotalVotesCast]]/Table1[[#This Row],[RegisteredVoters]]</f>
        <v>0.99230769230769234</v>
      </c>
      <c r="O84" t="str">
        <f>IF(Table1[[#This Row],[RegisteredVoters]]=Table1[[#This Row],[TotalVotesCast]],"Match","")</f>
        <v/>
      </c>
    </row>
    <row r="85" spans="1:15" ht="13.2">
      <c r="A85" s="1" t="s">
        <v>121</v>
      </c>
      <c r="B85" t="s">
        <v>15</v>
      </c>
      <c r="C85" t="s">
        <v>16</v>
      </c>
      <c r="D85" t="s">
        <v>87</v>
      </c>
      <c r="E85">
        <v>920</v>
      </c>
      <c r="F85">
        <v>460</v>
      </c>
      <c r="G85">
        <v>430</v>
      </c>
      <c r="H85">
        <v>25</v>
      </c>
      <c r="I85">
        <v>915</v>
      </c>
      <c r="J85" s="8">
        <f>Table1[[#This Row],[PartyAVotes]]/Table1[[#This Row],[RegisteredVoters]]</f>
        <v>0.5</v>
      </c>
      <c r="K85" s="8">
        <f>Table1[[#This Row],[PartyBVotes]]/Table1[[#This Row],[RegisteredVoters]]</f>
        <v>0.46739130434782611</v>
      </c>
      <c r="L85" s="8">
        <f>Table1[[#This Row],[PartyCVotes]]/Table1[[#This Row],[RegisteredVoters]]</f>
        <v>2.717391304347826E-2</v>
      </c>
      <c r="M85">
        <f>ABS(Table1[[#This Row],[PartyAVotes]]-Table1[[#This Row],[PartyBVotes]])</f>
        <v>30</v>
      </c>
      <c r="N85" s="11">
        <f>Table1[[#This Row],[TotalVotesCast]]/Table1[[#This Row],[RegisteredVoters]]</f>
        <v>0.99456521739130432</v>
      </c>
      <c r="O85" t="str">
        <f>IF(Table1[[#This Row],[RegisteredVoters]]=Table1[[#This Row],[TotalVotesCast]],"Match","")</f>
        <v/>
      </c>
    </row>
    <row r="86" spans="1:15" ht="13.2">
      <c r="A86" s="1" t="s">
        <v>122</v>
      </c>
      <c r="B86" t="s">
        <v>18</v>
      </c>
      <c r="C86" t="s">
        <v>20</v>
      </c>
      <c r="D86" t="s">
        <v>123</v>
      </c>
      <c r="E86">
        <v>990</v>
      </c>
      <c r="F86">
        <v>495</v>
      </c>
      <c r="G86">
        <v>470</v>
      </c>
      <c r="H86">
        <v>20</v>
      </c>
      <c r="I86">
        <v>985</v>
      </c>
      <c r="J86" s="8">
        <f>Table1[[#This Row],[PartyAVotes]]/Table1[[#This Row],[RegisteredVoters]]</f>
        <v>0.5</v>
      </c>
      <c r="K86" s="8">
        <f>Table1[[#This Row],[PartyBVotes]]/Table1[[#This Row],[RegisteredVoters]]</f>
        <v>0.47474747474747475</v>
      </c>
      <c r="L86" s="8">
        <f>Table1[[#This Row],[PartyCVotes]]/Table1[[#This Row],[RegisteredVoters]]</f>
        <v>2.0202020202020204E-2</v>
      </c>
      <c r="M86">
        <f>ABS(Table1[[#This Row],[PartyAVotes]]-Table1[[#This Row],[PartyBVotes]])</f>
        <v>25</v>
      </c>
      <c r="N86" s="11">
        <f>Table1[[#This Row],[TotalVotesCast]]/Table1[[#This Row],[RegisteredVoters]]</f>
        <v>0.99494949494949492</v>
      </c>
      <c r="O86" t="str">
        <f>IF(Table1[[#This Row],[RegisteredVoters]]=Table1[[#This Row],[TotalVotesCast]],"Match","")</f>
        <v/>
      </c>
    </row>
    <row r="87" spans="1:15" ht="13.2">
      <c r="A87" s="1" t="s">
        <v>124</v>
      </c>
      <c r="B87" t="s">
        <v>21</v>
      </c>
      <c r="C87" t="s">
        <v>22</v>
      </c>
      <c r="D87" t="s">
        <v>78</v>
      </c>
      <c r="E87">
        <v>1280</v>
      </c>
      <c r="F87">
        <v>640</v>
      </c>
      <c r="G87">
        <v>605</v>
      </c>
      <c r="H87">
        <v>30</v>
      </c>
      <c r="I87">
        <v>1275</v>
      </c>
      <c r="J87" s="8">
        <f>Table1[[#This Row],[PartyAVotes]]/Table1[[#This Row],[RegisteredVoters]]</f>
        <v>0.5</v>
      </c>
      <c r="K87" s="8">
        <f>Table1[[#This Row],[PartyBVotes]]/Table1[[#This Row],[RegisteredVoters]]</f>
        <v>0.47265625</v>
      </c>
      <c r="L87" s="8">
        <f>Table1[[#This Row],[PartyCVotes]]/Table1[[#This Row],[RegisteredVoters]]</f>
        <v>2.34375E-2</v>
      </c>
      <c r="M87">
        <f>ABS(Table1[[#This Row],[PartyAVotes]]-Table1[[#This Row],[PartyBVotes]])</f>
        <v>35</v>
      </c>
      <c r="N87" s="11">
        <f>Table1[[#This Row],[TotalVotesCast]]/Table1[[#This Row],[RegisteredVoters]]</f>
        <v>0.99609375</v>
      </c>
      <c r="O87" t="str">
        <f>IF(Table1[[#This Row],[RegisteredVoters]]=Table1[[#This Row],[TotalVotesCast]],"Match","")</f>
        <v/>
      </c>
    </row>
    <row r="88" spans="1:15" ht="13.2">
      <c r="A88" s="1" t="s">
        <v>125</v>
      </c>
      <c r="B88" t="s">
        <v>10</v>
      </c>
      <c r="C88" t="s">
        <v>14</v>
      </c>
      <c r="D88" t="s">
        <v>87</v>
      </c>
      <c r="E88">
        <v>720</v>
      </c>
      <c r="F88">
        <v>360</v>
      </c>
      <c r="G88">
        <v>330</v>
      </c>
      <c r="H88">
        <v>20</v>
      </c>
      <c r="I88">
        <v>710</v>
      </c>
      <c r="J88" s="8">
        <f>Table1[[#This Row],[PartyAVotes]]/Table1[[#This Row],[RegisteredVoters]]</f>
        <v>0.5</v>
      </c>
      <c r="K88" s="8">
        <f>Table1[[#This Row],[PartyBVotes]]/Table1[[#This Row],[RegisteredVoters]]</f>
        <v>0.45833333333333331</v>
      </c>
      <c r="L88" s="8">
        <f>Table1[[#This Row],[PartyCVotes]]/Table1[[#This Row],[RegisteredVoters]]</f>
        <v>2.7777777777777776E-2</v>
      </c>
      <c r="M88">
        <f>ABS(Table1[[#This Row],[PartyAVotes]]-Table1[[#This Row],[PartyBVotes]])</f>
        <v>30</v>
      </c>
      <c r="N88" s="11">
        <f>Table1[[#This Row],[TotalVotesCast]]/Table1[[#This Row],[RegisteredVoters]]</f>
        <v>0.98611111111111116</v>
      </c>
      <c r="O88" t="str">
        <f>IF(Table1[[#This Row],[RegisteredVoters]]=Table1[[#This Row],[TotalVotesCast]],"Match","")</f>
        <v/>
      </c>
    </row>
    <row r="89" spans="1:15" ht="13.2">
      <c r="A89" s="1" t="s">
        <v>126</v>
      </c>
      <c r="B89" t="s">
        <v>15</v>
      </c>
      <c r="C89" t="s">
        <v>17</v>
      </c>
      <c r="D89" t="s">
        <v>69</v>
      </c>
      <c r="E89">
        <v>780</v>
      </c>
      <c r="F89">
        <v>390</v>
      </c>
      <c r="G89">
        <v>365</v>
      </c>
      <c r="H89">
        <v>20</v>
      </c>
      <c r="I89">
        <v>775</v>
      </c>
      <c r="J89" s="8">
        <f>Table1[[#This Row],[PartyAVotes]]/Table1[[#This Row],[RegisteredVoters]]</f>
        <v>0.5</v>
      </c>
      <c r="K89" s="8">
        <f>Table1[[#This Row],[PartyBVotes]]/Table1[[#This Row],[RegisteredVoters]]</f>
        <v>0.46794871794871795</v>
      </c>
      <c r="L89" s="8">
        <f>Table1[[#This Row],[PartyCVotes]]/Table1[[#This Row],[RegisteredVoters]]</f>
        <v>2.564102564102564E-2</v>
      </c>
      <c r="M89">
        <f>ABS(Table1[[#This Row],[PartyAVotes]]-Table1[[#This Row],[PartyBVotes]])</f>
        <v>25</v>
      </c>
      <c r="N89" s="11">
        <f>Table1[[#This Row],[TotalVotesCast]]/Table1[[#This Row],[RegisteredVoters]]</f>
        <v>0.99358974358974361</v>
      </c>
      <c r="O89" t="str">
        <f>IF(Table1[[#This Row],[RegisteredVoters]]=Table1[[#This Row],[TotalVotesCast]],"Match","")</f>
        <v/>
      </c>
    </row>
    <row r="90" spans="1:15" ht="13.2">
      <c r="A90" s="1" t="s">
        <v>127</v>
      </c>
      <c r="B90" t="s">
        <v>18</v>
      </c>
      <c r="C90" t="s">
        <v>19</v>
      </c>
      <c r="D90" t="s">
        <v>96</v>
      </c>
      <c r="E90">
        <v>1060</v>
      </c>
      <c r="F90">
        <v>530</v>
      </c>
      <c r="G90">
        <v>495</v>
      </c>
      <c r="H90">
        <v>30</v>
      </c>
      <c r="I90">
        <v>1055</v>
      </c>
      <c r="J90" s="8">
        <f>Table1[[#This Row],[PartyAVotes]]/Table1[[#This Row],[RegisteredVoters]]</f>
        <v>0.5</v>
      </c>
      <c r="K90" s="8">
        <f>Table1[[#This Row],[PartyBVotes]]/Table1[[#This Row],[RegisteredVoters]]</f>
        <v>0.46698113207547171</v>
      </c>
      <c r="L90" s="8">
        <f>Table1[[#This Row],[PartyCVotes]]/Table1[[#This Row],[RegisteredVoters]]</f>
        <v>2.8301886792452831E-2</v>
      </c>
      <c r="M90">
        <f>ABS(Table1[[#This Row],[PartyAVotes]]-Table1[[#This Row],[PartyBVotes]])</f>
        <v>35</v>
      </c>
      <c r="N90" s="11">
        <f>Table1[[#This Row],[TotalVotesCast]]/Table1[[#This Row],[RegisteredVoters]]</f>
        <v>0.99528301886792447</v>
      </c>
      <c r="O90" t="str">
        <f>IF(Table1[[#This Row],[RegisteredVoters]]=Table1[[#This Row],[TotalVotesCast]],"Match","")</f>
        <v/>
      </c>
    </row>
    <row r="91" spans="1:15" ht="13.2">
      <c r="A91" s="1" t="s">
        <v>128</v>
      </c>
      <c r="B91" t="s">
        <v>21</v>
      </c>
      <c r="C91" t="s">
        <v>23</v>
      </c>
      <c r="D91" t="s">
        <v>78</v>
      </c>
      <c r="E91">
        <v>1120</v>
      </c>
      <c r="F91">
        <v>560</v>
      </c>
      <c r="G91">
        <v>525</v>
      </c>
      <c r="H91">
        <v>30</v>
      </c>
      <c r="I91">
        <v>1115</v>
      </c>
      <c r="J91" s="8">
        <f>Table1[[#This Row],[PartyAVotes]]/Table1[[#This Row],[RegisteredVoters]]</f>
        <v>0.5</v>
      </c>
      <c r="K91" s="8">
        <f>Table1[[#This Row],[PartyBVotes]]/Table1[[#This Row],[RegisteredVoters]]</f>
        <v>0.46875</v>
      </c>
      <c r="L91" s="8">
        <f>Table1[[#This Row],[PartyCVotes]]/Table1[[#This Row],[RegisteredVoters]]</f>
        <v>2.6785714285714284E-2</v>
      </c>
      <c r="M91">
        <f>ABS(Table1[[#This Row],[PartyAVotes]]-Table1[[#This Row],[PartyBVotes]])</f>
        <v>35</v>
      </c>
      <c r="N91" s="11">
        <f>Table1[[#This Row],[TotalVotesCast]]/Table1[[#This Row],[RegisteredVoters]]</f>
        <v>0.9955357142857143</v>
      </c>
      <c r="O91" t="str">
        <f>IF(Table1[[#This Row],[RegisteredVoters]]=Table1[[#This Row],[TotalVotesCast]],"Match","")</f>
        <v/>
      </c>
    </row>
    <row r="92" spans="1:15" ht="13.2">
      <c r="A92" s="1" t="s">
        <v>129</v>
      </c>
      <c r="B92" t="s">
        <v>10</v>
      </c>
      <c r="C92" t="s">
        <v>11</v>
      </c>
      <c r="D92" s="3" t="s">
        <v>96</v>
      </c>
      <c r="E92">
        <v>660</v>
      </c>
      <c r="F92">
        <v>330</v>
      </c>
      <c r="G92">
        <v>310</v>
      </c>
      <c r="H92">
        <v>15</v>
      </c>
      <c r="I92">
        <v>655</v>
      </c>
      <c r="J92" s="8">
        <f>Table1[[#This Row],[PartyAVotes]]/Table1[[#This Row],[RegisteredVoters]]</f>
        <v>0.5</v>
      </c>
      <c r="K92" s="8">
        <f>Table1[[#This Row],[PartyBVotes]]/Table1[[#This Row],[RegisteredVoters]]</f>
        <v>0.46969696969696972</v>
      </c>
      <c r="L92" s="8">
        <f>Table1[[#This Row],[PartyCVotes]]/Table1[[#This Row],[RegisteredVoters]]</f>
        <v>2.2727272727272728E-2</v>
      </c>
      <c r="M92">
        <f>ABS(Table1[[#This Row],[PartyAVotes]]-Table1[[#This Row],[PartyBVotes]])</f>
        <v>20</v>
      </c>
      <c r="N92" s="11">
        <f>Table1[[#This Row],[TotalVotesCast]]/Table1[[#This Row],[RegisteredVoters]]</f>
        <v>0.99242424242424243</v>
      </c>
      <c r="O92" t="str">
        <f>IF(Table1[[#This Row],[RegisteredVoters]]=Table1[[#This Row],[TotalVotesCast]],"Match","")</f>
        <v/>
      </c>
    </row>
    <row r="93" spans="1:15" ht="13.2">
      <c r="A93" s="1" t="s">
        <v>130</v>
      </c>
      <c r="B93" t="s">
        <v>15</v>
      </c>
      <c r="C93" t="s">
        <v>16</v>
      </c>
      <c r="D93" t="s">
        <v>96</v>
      </c>
      <c r="E93">
        <v>930</v>
      </c>
      <c r="F93">
        <v>465</v>
      </c>
      <c r="G93">
        <v>435</v>
      </c>
      <c r="H93">
        <v>25</v>
      </c>
      <c r="I93">
        <v>925</v>
      </c>
      <c r="J93" s="8">
        <f>Table1[[#This Row],[PartyAVotes]]/Table1[[#This Row],[RegisteredVoters]]</f>
        <v>0.5</v>
      </c>
      <c r="K93" s="8">
        <f>Table1[[#This Row],[PartyBVotes]]/Table1[[#This Row],[RegisteredVoters]]</f>
        <v>0.46774193548387094</v>
      </c>
      <c r="L93" s="8">
        <f>Table1[[#This Row],[PartyCVotes]]/Table1[[#This Row],[RegisteredVoters]]</f>
        <v>2.6881720430107527E-2</v>
      </c>
      <c r="M93">
        <f>ABS(Table1[[#This Row],[PartyAVotes]]-Table1[[#This Row],[PartyBVotes]])</f>
        <v>30</v>
      </c>
      <c r="N93" s="11">
        <f>Table1[[#This Row],[TotalVotesCast]]/Table1[[#This Row],[RegisteredVoters]]</f>
        <v>0.9946236559139785</v>
      </c>
      <c r="O93" t="str">
        <f>IF(Table1[[#This Row],[RegisteredVoters]]=Table1[[#This Row],[TotalVotesCast]],"Match","")</f>
        <v/>
      </c>
    </row>
    <row r="94" spans="1:15" ht="13.2">
      <c r="A94" s="1" t="s">
        <v>131</v>
      </c>
      <c r="B94" t="s">
        <v>18</v>
      </c>
      <c r="C94" t="s">
        <v>20</v>
      </c>
      <c r="D94" t="s">
        <v>132</v>
      </c>
      <c r="E94">
        <v>1000</v>
      </c>
      <c r="F94">
        <v>500</v>
      </c>
      <c r="G94">
        <v>475</v>
      </c>
      <c r="H94">
        <v>20</v>
      </c>
      <c r="I94">
        <v>995</v>
      </c>
      <c r="J94" s="8">
        <f>Table1[[#This Row],[PartyAVotes]]/Table1[[#This Row],[RegisteredVoters]]</f>
        <v>0.5</v>
      </c>
      <c r="K94" s="8">
        <f>Table1[[#This Row],[PartyBVotes]]/Table1[[#This Row],[RegisteredVoters]]</f>
        <v>0.47499999999999998</v>
      </c>
      <c r="L94" s="8">
        <f>Table1[[#This Row],[PartyCVotes]]/Table1[[#This Row],[RegisteredVoters]]</f>
        <v>0.02</v>
      </c>
      <c r="M94">
        <f>ABS(Table1[[#This Row],[PartyAVotes]]-Table1[[#This Row],[PartyBVotes]])</f>
        <v>25</v>
      </c>
      <c r="N94" s="11">
        <f>Table1[[#This Row],[TotalVotesCast]]/Table1[[#This Row],[RegisteredVoters]]</f>
        <v>0.995</v>
      </c>
      <c r="O94" t="str">
        <f>IF(Table1[[#This Row],[RegisteredVoters]]=Table1[[#This Row],[TotalVotesCast]],"Match","")</f>
        <v/>
      </c>
    </row>
    <row r="95" spans="1:15" ht="13.2">
      <c r="A95" s="1" t="s">
        <v>133</v>
      </c>
      <c r="B95" t="s">
        <v>21</v>
      </c>
      <c r="C95" t="s">
        <v>22</v>
      </c>
      <c r="D95" t="s">
        <v>87</v>
      </c>
      <c r="E95">
        <v>1290</v>
      </c>
      <c r="F95">
        <v>645</v>
      </c>
      <c r="G95">
        <v>610</v>
      </c>
      <c r="H95">
        <v>30</v>
      </c>
      <c r="I95">
        <v>1285</v>
      </c>
      <c r="J95" s="8">
        <f>Table1[[#This Row],[PartyAVotes]]/Table1[[#This Row],[RegisteredVoters]]</f>
        <v>0.5</v>
      </c>
      <c r="K95" s="8">
        <f>Table1[[#This Row],[PartyBVotes]]/Table1[[#This Row],[RegisteredVoters]]</f>
        <v>0.47286821705426357</v>
      </c>
      <c r="L95" s="8">
        <f>Table1[[#This Row],[PartyCVotes]]/Table1[[#This Row],[RegisteredVoters]]</f>
        <v>2.3255813953488372E-2</v>
      </c>
      <c r="M95">
        <f>ABS(Table1[[#This Row],[PartyAVotes]]-Table1[[#This Row],[PartyBVotes]])</f>
        <v>35</v>
      </c>
      <c r="N95" s="11">
        <f>Table1[[#This Row],[TotalVotesCast]]/Table1[[#This Row],[RegisteredVoters]]</f>
        <v>0.99612403100775193</v>
      </c>
      <c r="O95" t="str">
        <f>IF(Table1[[#This Row],[RegisteredVoters]]=Table1[[#This Row],[TotalVotesCast]],"Match","")</f>
        <v/>
      </c>
    </row>
    <row r="96" spans="1:15" ht="13.2">
      <c r="A96" s="1" t="s">
        <v>134</v>
      </c>
      <c r="B96" t="s">
        <v>10</v>
      </c>
      <c r="C96" t="s">
        <v>14</v>
      </c>
      <c r="D96" t="s">
        <v>96</v>
      </c>
      <c r="E96">
        <v>730</v>
      </c>
      <c r="F96">
        <v>365</v>
      </c>
      <c r="G96">
        <v>335</v>
      </c>
      <c r="H96">
        <v>20</v>
      </c>
      <c r="I96">
        <v>720</v>
      </c>
      <c r="J96" s="8">
        <f>Table1[[#This Row],[PartyAVotes]]/Table1[[#This Row],[RegisteredVoters]]</f>
        <v>0.5</v>
      </c>
      <c r="K96" s="8">
        <f>Table1[[#This Row],[PartyBVotes]]/Table1[[#This Row],[RegisteredVoters]]</f>
        <v>0.4589041095890411</v>
      </c>
      <c r="L96" s="8">
        <f>Table1[[#This Row],[PartyCVotes]]/Table1[[#This Row],[RegisteredVoters]]</f>
        <v>2.7397260273972601E-2</v>
      </c>
      <c r="M96">
        <f>ABS(Table1[[#This Row],[PartyAVotes]]-Table1[[#This Row],[PartyBVotes]])</f>
        <v>30</v>
      </c>
      <c r="N96" s="11">
        <f>Table1[[#This Row],[TotalVotesCast]]/Table1[[#This Row],[RegisteredVoters]]</f>
        <v>0.98630136986301364</v>
      </c>
      <c r="O96" t="str">
        <f>IF(Table1[[#This Row],[RegisteredVoters]]=Table1[[#This Row],[TotalVotesCast]],"Match","")</f>
        <v/>
      </c>
    </row>
    <row r="97" spans="1:15" ht="13.2">
      <c r="A97" s="1" t="s">
        <v>135</v>
      </c>
      <c r="B97" t="s">
        <v>15</v>
      </c>
      <c r="C97" t="s">
        <v>17</v>
      </c>
      <c r="D97" t="s">
        <v>78</v>
      </c>
      <c r="E97">
        <v>790</v>
      </c>
      <c r="F97">
        <v>395</v>
      </c>
      <c r="G97">
        <v>370</v>
      </c>
      <c r="H97">
        <v>20</v>
      </c>
      <c r="I97">
        <v>785</v>
      </c>
      <c r="J97" s="8">
        <f>Table1[[#This Row],[PartyAVotes]]/Table1[[#This Row],[RegisteredVoters]]</f>
        <v>0.5</v>
      </c>
      <c r="K97" s="8">
        <f>Table1[[#This Row],[PartyBVotes]]/Table1[[#This Row],[RegisteredVoters]]</f>
        <v>0.46835443037974683</v>
      </c>
      <c r="L97" s="8">
        <f>Table1[[#This Row],[PartyCVotes]]/Table1[[#This Row],[RegisteredVoters]]</f>
        <v>2.5316455696202531E-2</v>
      </c>
      <c r="M97">
        <f>ABS(Table1[[#This Row],[PartyAVotes]]-Table1[[#This Row],[PartyBVotes]])</f>
        <v>25</v>
      </c>
      <c r="N97" s="11">
        <f>Table1[[#This Row],[TotalVotesCast]]/Table1[[#This Row],[RegisteredVoters]]</f>
        <v>0.99367088607594933</v>
      </c>
      <c r="O97" t="str">
        <f>IF(Table1[[#This Row],[RegisteredVoters]]=Table1[[#This Row],[TotalVotesCast]],"Match","")</f>
        <v/>
      </c>
    </row>
    <row r="98" spans="1:15" ht="13.2">
      <c r="A98" s="1" t="s">
        <v>136</v>
      </c>
      <c r="B98" t="s">
        <v>18</v>
      </c>
      <c r="C98" t="s">
        <v>19</v>
      </c>
      <c r="D98" t="s">
        <v>105</v>
      </c>
      <c r="E98">
        <v>1070</v>
      </c>
      <c r="F98">
        <v>535</v>
      </c>
      <c r="G98">
        <v>500</v>
      </c>
      <c r="H98">
        <v>30</v>
      </c>
      <c r="I98">
        <v>1065</v>
      </c>
      <c r="J98" s="8">
        <f>Table1[[#This Row],[PartyAVotes]]/Table1[[#This Row],[RegisteredVoters]]</f>
        <v>0.5</v>
      </c>
      <c r="K98" s="8">
        <f>Table1[[#This Row],[PartyBVotes]]/Table1[[#This Row],[RegisteredVoters]]</f>
        <v>0.46728971962616822</v>
      </c>
      <c r="L98" s="8">
        <f>Table1[[#This Row],[PartyCVotes]]/Table1[[#This Row],[RegisteredVoters]]</f>
        <v>2.8037383177570093E-2</v>
      </c>
      <c r="M98">
        <f>ABS(Table1[[#This Row],[PartyAVotes]]-Table1[[#This Row],[PartyBVotes]])</f>
        <v>35</v>
      </c>
      <c r="N98" s="11">
        <f>Table1[[#This Row],[TotalVotesCast]]/Table1[[#This Row],[RegisteredVoters]]</f>
        <v>0.99532710280373837</v>
      </c>
      <c r="O98" t="str">
        <f>IF(Table1[[#This Row],[RegisteredVoters]]=Table1[[#This Row],[TotalVotesCast]],"Match","")</f>
        <v/>
      </c>
    </row>
    <row r="99" spans="1:15" ht="13.2">
      <c r="A99" s="1" t="s">
        <v>137</v>
      </c>
      <c r="B99" t="s">
        <v>21</v>
      </c>
      <c r="C99" t="s">
        <v>23</v>
      </c>
      <c r="D99" t="s">
        <v>87</v>
      </c>
      <c r="E99">
        <v>1130</v>
      </c>
      <c r="F99">
        <v>565</v>
      </c>
      <c r="G99">
        <v>530</v>
      </c>
      <c r="H99">
        <v>30</v>
      </c>
      <c r="I99">
        <v>1125</v>
      </c>
      <c r="J99" s="8">
        <f>Table1[[#This Row],[PartyAVotes]]/Table1[[#This Row],[RegisteredVoters]]</f>
        <v>0.5</v>
      </c>
      <c r="K99" s="8">
        <f>Table1[[#This Row],[PartyBVotes]]/Table1[[#This Row],[RegisteredVoters]]</f>
        <v>0.46902654867256638</v>
      </c>
      <c r="L99" s="8">
        <f>Table1[[#This Row],[PartyCVotes]]/Table1[[#This Row],[RegisteredVoters]]</f>
        <v>2.6548672566371681E-2</v>
      </c>
      <c r="M99">
        <f>ABS(Table1[[#This Row],[PartyAVotes]]-Table1[[#This Row],[PartyBVotes]])</f>
        <v>35</v>
      </c>
      <c r="N99" s="11">
        <f>Table1[[#This Row],[TotalVotesCast]]/Table1[[#This Row],[RegisteredVoters]]</f>
        <v>0.99557522123893805</v>
      </c>
      <c r="O99" t="str">
        <f>IF(Table1[[#This Row],[RegisteredVoters]]=Table1[[#This Row],[TotalVotesCast]],"Match","")</f>
        <v/>
      </c>
    </row>
    <row r="100" spans="1:15" ht="13.2">
      <c r="A100" s="1" t="s">
        <v>138</v>
      </c>
      <c r="B100" t="s">
        <v>10</v>
      </c>
      <c r="C100" t="s">
        <v>11</v>
      </c>
      <c r="D100" t="s">
        <v>105</v>
      </c>
      <c r="E100">
        <v>670</v>
      </c>
      <c r="F100">
        <v>335</v>
      </c>
      <c r="G100">
        <v>315</v>
      </c>
      <c r="H100">
        <v>15</v>
      </c>
      <c r="I100">
        <v>665</v>
      </c>
      <c r="J100" s="8">
        <f>Table1[[#This Row],[PartyAVotes]]/Table1[[#This Row],[RegisteredVoters]]</f>
        <v>0.5</v>
      </c>
      <c r="K100" s="8">
        <f>Table1[[#This Row],[PartyBVotes]]/Table1[[#This Row],[RegisteredVoters]]</f>
        <v>0.47014925373134331</v>
      </c>
      <c r="L100" s="8">
        <f>Table1[[#This Row],[PartyCVotes]]/Table1[[#This Row],[RegisteredVoters]]</f>
        <v>2.2388059701492536E-2</v>
      </c>
      <c r="M100">
        <f>ABS(Table1[[#This Row],[PartyAVotes]]-Table1[[#This Row],[PartyBVotes]])</f>
        <v>20</v>
      </c>
      <c r="N100" s="11">
        <f>Table1[[#This Row],[TotalVotesCast]]/Table1[[#This Row],[RegisteredVoters]]</f>
        <v>0.9925373134328358</v>
      </c>
      <c r="O100" t="str">
        <f>IF(Table1[[#This Row],[RegisteredVoters]]=Table1[[#This Row],[TotalVotesCast]],"Match","")</f>
        <v/>
      </c>
    </row>
    <row r="101" spans="1:15" ht="13.2">
      <c r="A101" s="1" t="s">
        <v>139</v>
      </c>
      <c r="B101" t="s">
        <v>15</v>
      </c>
      <c r="C101" t="s">
        <v>16</v>
      </c>
      <c r="D101" t="s">
        <v>105</v>
      </c>
      <c r="E101">
        <v>940</v>
      </c>
      <c r="F101">
        <v>470</v>
      </c>
      <c r="G101">
        <v>440</v>
      </c>
      <c r="H101">
        <v>25</v>
      </c>
      <c r="I101">
        <v>935</v>
      </c>
      <c r="J101" s="8">
        <f>Table1[[#This Row],[PartyAVotes]]/Table1[[#This Row],[RegisteredVoters]]</f>
        <v>0.5</v>
      </c>
      <c r="K101" s="8">
        <f>Table1[[#This Row],[PartyBVotes]]/Table1[[#This Row],[RegisteredVoters]]</f>
        <v>0.46808510638297873</v>
      </c>
      <c r="L101" s="8">
        <f>Table1[[#This Row],[PartyCVotes]]/Table1[[#This Row],[RegisteredVoters]]</f>
        <v>2.6595744680851064E-2</v>
      </c>
      <c r="M101">
        <f>ABS(Table1[[#This Row],[PartyAVotes]]-Table1[[#This Row],[PartyBVotes]])</f>
        <v>30</v>
      </c>
      <c r="N101" s="11">
        <f>Table1[[#This Row],[TotalVotesCast]]/Table1[[#This Row],[RegisteredVoters]]</f>
        <v>0.99468085106382975</v>
      </c>
      <c r="O101" t="str">
        <f>IF(Table1[[#This Row],[RegisteredVoters]]=Table1[[#This Row],[TotalVotesCast]],"Match","")</f>
        <v/>
      </c>
    </row>
    <row r="102" spans="1:15" ht="13.2">
      <c r="A102" s="1" t="s">
        <v>140</v>
      </c>
      <c r="B102" t="s">
        <v>18</v>
      </c>
      <c r="C102" t="s">
        <v>20</v>
      </c>
      <c r="D102" t="s">
        <v>141</v>
      </c>
      <c r="E102">
        <v>1010</v>
      </c>
      <c r="F102">
        <v>505</v>
      </c>
      <c r="G102">
        <v>480</v>
      </c>
      <c r="H102">
        <v>20</v>
      </c>
      <c r="I102">
        <v>1005</v>
      </c>
      <c r="J102" s="8">
        <f>Table1[[#This Row],[PartyAVotes]]/Table1[[#This Row],[RegisteredVoters]]</f>
        <v>0.5</v>
      </c>
      <c r="K102" s="8">
        <f>Table1[[#This Row],[PartyBVotes]]/Table1[[#This Row],[RegisteredVoters]]</f>
        <v>0.47524752475247523</v>
      </c>
      <c r="L102" s="8">
        <f>Table1[[#This Row],[PartyCVotes]]/Table1[[#This Row],[RegisteredVoters]]</f>
        <v>1.9801980198019802E-2</v>
      </c>
      <c r="M102">
        <f>ABS(Table1[[#This Row],[PartyAVotes]]-Table1[[#This Row],[PartyBVotes]])</f>
        <v>25</v>
      </c>
      <c r="N102" s="11">
        <f>Table1[[#This Row],[TotalVotesCast]]/Table1[[#This Row],[RegisteredVoters]]</f>
        <v>0.99504950495049505</v>
      </c>
      <c r="O102" t="str">
        <f>IF(Table1[[#This Row],[RegisteredVoters]]=Table1[[#This Row],[TotalVotesCast]],"Match","")</f>
        <v/>
      </c>
    </row>
    <row r="103" spans="1:15" ht="13.2">
      <c r="A103" s="1" t="s">
        <v>142</v>
      </c>
      <c r="B103" t="s">
        <v>21</v>
      </c>
      <c r="C103" t="s">
        <v>22</v>
      </c>
      <c r="D103" t="s">
        <v>96</v>
      </c>
      <c r="E103">
        <v>1300</v>
      </c>
      <c r="F103">
        <v>650</v>
      </c>
      <c r="G103">
        <v>615</v>
      </c>
      <c r="H103">
        <v>30</v>
      </c>
      <c r="I103">
        <v>1295</v>
      </c>
      <c r="J103" s="8">
        <f>Table1[[#This Row],[PartyAVotes]]/Table1[[#This Row],[RegisteredVoters]]</f>
        <v>0.5</v>
      </c>
      <c r="K103" s="8">
        <f>Table1[[#This Row],[PartyBVotes]]/Table1[[#This Row],[RegisteredVoters]]</f>
        <v>0.47307692307692306</v>
      </c>
      <c r="L103" s="8">
        <f>Table1[[#This Row],[PartyCVotes]]/Table1[[#This Row],[RegisteredVoters]]</f>
        <v>2.3076923076923078E-2</v>
      </c>
      <c r="M103">
        <f>ABS(Table1[[#This Row],[PartyAVotes]]-Table1[[#This Row],[PartyBVotes]])</f>
        <v>35</v>
      </c>
      <c r="N103" s="11">
        <f>Table1[[#This Row],[TotalVotesCast]]/Table1[[#This Row],[RegisteredVoters]]</f>
        <v>0.99615384615384617</v>
      </c>
      <c r="O103" t="str">
        <f>IF(Table1[[#This Row],[RegisteredVoters]]=Table1[[#This Row],[TotalVotesCast]],"Match","")</f>
        <v/>
      </c>
    </row>
    <row r="104" spans="1:15" ht="13.2">
      <c r="A104" s="1" t="s">
        <v>143</v>
      </c>
      <c r="B104" t="s">
        <v>10</v>
      </c>
      <c r="C104" t="s">
        <v>11</v>
      </c>
      <c r="D104" t="s">
        <v>114</v>
      </c>
      <c r="E104">
        <v>510</v>
      </c>
      <c r="F104">
        <v>250</v>
      </c>
      <c r="G104">
        <v>230</v>
      </c>
      <c r="H104">
        <v>10</v>
      </c>
      <c r="I104">
        <v>490</v>
      </c>
      <c r="J104" s="8">
        <f>Table1[[#This Row],[PartyAVotes]]/Table1[[#This Row],[RegisteredVoters]]</f>
        <v>0.49019607843137253</v>
      </c>
      <c r="K104" s="8">
        <f>Table1[[#This Row],[PartyBVotes]]/Table1[[#This Row],[RegisteredVoters]]</f>
        <v>0.45098039215686275</v>
      </c>
      <c r="L104" s="8">
        <f>Table1[[#This Row],[PartyCVotes]]/Table1[[#This Row],[RegisteredVoters]]</f>
        <v>1.9607843137254902E-2</v>
      </c>
      <c r="M104">
        <f>ABS(Table1[[#This Row],[PartyAVotes]]-Table1[[#This Row],[PartyBVotes]])</f>
        <v>20</v>
      </c>
      <c r="N104" s="11">
        <f>Table1[[#This Row],[TotalVotesCast]]/Table1[[#This Row],[RegisteredVoters]]</f>
        <v>0.96078431372549022</v>
      </c>
      <c r="O104" t="str">
        <f>IF(Table1[[#This Row],[RegisteredVoters]]=Table1[[#This Row],[TotalVotesCast]],"Match","")</f>
        <v/>
      </c>
    </row>
    <row r="105" spans="1:15" ht="13.2">
      <c r="A105" s="1" t="s">
        <v>144</v>
      </c>
      <c r="B105" t="s">
        <v>15</v>
      </c>
      <c r="C105" t="s">
        <v>16</v>
      </c>
      <c r="D105" t="s">
        <v>114</v>
      </c>
      <c r="E105">
        <v>800</v>
      </c>
      <c r="F105">
        <v>400</v>
      </c>
      <c r="G105">
        <v>375</v>
      </c>
      <c r="H105">
        <v>15</v>
      </c>
      <c r="I105">
        <v>790</v>
      </c>
      <c r="J105" s="8">
        <f>Table1[[#This Row],[PartyAVotes]]/Table1[[#This Row],[RegisteredVoters]]</f>
        <v>0.5</v>
      </c>
      <c r="K105" s="8">
        <f>Table1[[#This Row],[PartyBVotes]]/Table1[[#This Row],[RegisteredVoters]]</f>
        <v>0.46875</v>
      </c>
      <c r="L105" s="8">
        <f>Table1[[#This Row],[PartyCVotes]]/Table1[[#This Row],[RegisteredVoters]]</f>
        <v>1.8749999999999999E-2</v>
      </c>
      <c r="M105">
        <f>ABS(Table1[[#This Row],[PartyAVotes]]-Table1[[#This Row],[PartyBVotes]])</f>
        <v>25</v>
      </c>
      <c r="N105" s="11">
        <f>Table1[[#This Row],[TotalVotesCast]]/Table1[[#This Row],[RegisteredVoters]]</f>
        <v>0.98750000000000004</v>
      </c>
      <c r="O105" t="str">
        <f>IF(Table1[[#This Row],[RegisteredVoters]]=Table1[[#This Row],[TotalVotesCast]],"Match","")</f>
        <v/>
      </c>
    </row>
    <row r="106" spans="1:15" ht="13.2">
      <c r="A106" s="1" t="s">
        <v>145</v>
      </c>
      <c r="B106" t="s">
        <v>18</v>
      </c>
      <c r="C106" t="s">
        <v>20</v>
      </c>
      <c r="D106" t="s">
        <v>146</v>
      </c>
      <c r="E106">
        <v>870</v>
      </c>
      <c r="F106">
        <v>430</v>
      </c>
      <c r="G106">
        <v>410</v>
      </c>
      <c r="H106">
        <v>15</v>
      </c>
      <c r="I106">
        <v>855</v>
      </c>
      <c r="J106" s="8">
        <f>Table1[[#This Row],[PartyAVotes]]/Table1[[#This Row],[RegisteredVoters]]</f>
        <v>0.4942528735632184</v>
      </c>
      <c r="K106" s="8">
        <f>Table1[[#This Row],[PartyBVotes]]/Table1[[#This Row],[RegisteredVoters]]</f>
        <v>0.47126436781609193</v>
      </c>
      <c r="L106" s="8">
        <f>Table1[[#This Row],[PartyCVotes]]/Table1[[#This Row],[RegisteredVoters]]</f>
        <v>1.7241379310344827E-2</v>
      </c>
      <c r="M106">
        <f>ABS(Table1[[#This Row],[PartyAVotes]]-Table1[[#This Row],[PartyBVotes]])</f>
        <v>20</v>
      </c>
      <c r="N106" s="11">
        <f>Table1[[#This Row],[TotalVotesCast]]/Table1[[#This Row],[RegisteredVoters]]</f>
        <v>0.98275862068965514</v>
      </c>
      <c r="O106" t="str">
        <f>IF(Table1[[#This Row],[RegisteredVoters]]=Table1[[#This Row],[TotalVotesCast]],"Match","")</f>
        <v/>
      </c>
    </row>
    <row r="107" spans="1:15" ht="13.2">
      <c r="A107" s="1" t="s">
        <v>147</v>
      </c>
      <c r="B107" t="s">
        <v>21</v>
      </c>
      <c r="C107" t="s">
        <v>22</v>
      </c>
      <c r="D107" t="s">
        <v>105</v>
      </c>
      <c r="E107">
        <v>1150</v>
      </c>
      <c r="F107">
        <v>560</v>
      </c>
      <c r="G107">
        <v>530</v>
      </c>
      <c r="H107">
        <v>25</v>
      </c>
      <c r="I107">
        <v>1115</v>
      </c>
      <c r="J107" s="8">
        <f>Table1[[#This Row],[PartyAVotes]]/Table1[[#This Row],[RegisteredVoters]]</f>
        <v>0.48695652173913045</v>
      </c>
      <c r="K107" s="8">
        <f>Table1[[#This Row],[PartyBVotes]]/Table1[[#This Row],[RegisteredVoters]]</f>
        <v>0.46086956521739131</v>
      </c>
      <c r="L107" s="8">
        <f>Table1[[#This Row],[PartyCVotes]]/Table1[[#This Row],[RegisteredVoters]]</f>
        <v>2.1739130434782608E-2</v>
      </c>
      <c r="M107">
        <f>ABS(Table1[[#This Row],[PartyAVotes]]-Table1[[#This Row],[PartyBVotes]])</f>
        <v>30</v>
      </c>
      <c r="N107" s="11">
        <f>Table1[[#This Row],[TotalVotesCast]]/Table1[[#This Row],[RegisteredVoters]]</f>
        <v>0.9695652173913043</v>
      </c>
      <c r="O107" t="str">
        <f>IF(Table1[[#This Row],[RegisteredVoters]]=Table1[[#This Row],[TotalVotesCast]],"Match","")</f>
        <v/>
      </c>
    </row>
    <row r="108" spans="1:15" ht="13.2">
      <c r="A108" s="1" t="s">
        <v>148</v>
      </c>
      <c r="B108" t="s">
        <v>10</v>
      </c>
      <c r="C108" t="s">
        <v>14</v>
      </c>
      <c r="D108" t="s">
        <v>105</v>
      </c>
      <c r="E108">
        <v>590</v>
      </c>
      <c r="F108">
        <v>290</v>
      </c>
      <c r="G108">
        <v>270</v>
      </c>
      <c r="H108">
        <v>15</v>
      </c>
      <c r="I108">
        <v>575</v>
      </c>
      <c r="J108" s="8">
        <f>Table1[[#This Row],[PartyAVotes]]/Table1[[#This Row],[RegisteredVoters]]</f>
        <v>0.49152542372881358</v>
      </c>
      <c r="K108" s="8">
        <f>Table1[[#This Row],[PartyBVotes]]/Table1[[#This Row],[RegisteredVoters]]</f>
        <v>0.4576271186440678</v>
      </c>
      <c r="L108" s="8">
        <f>Table1[[#This Row],[PartyCVotes]]/Table1[[#This Row],[RegisteredVoters]]</f>
        <v>2.5423728813559324E-2</v>
      </c>
      <c r="M108">
        <f>ABS(Table1[[#This Row],[PartyAVotes]]-Table1[[#This Row],[PartyBVotes]])</f>
        <v>20</v>
      </c>
      <c r="N108" s="11">
        <f>Table1[[#This Row],[TotalVotesCast]]/Table1[[#This Row],[RegisteredVoters]]</f>
        <v>0.97457627118644063</v>
      </c>
      <c r="O108" t="str">
        <f>IF(Table1[[#This Row],[RegisteredVoters]]=Table1[[#This Row],[TotalVotesCast]],"Match","")</f>
        <v/>
      </c>
    </row>
    <row r="109" spans="1:15" ht="13.2">
      <c r="A109" s="1" t="s">
        <v>149</v>
      </c>
      <c r="B109" t="s">
        <v>15</v>
      </c>
      <c r="C109" t="s">
        <v>17</v>
      </c>
      <c r="D109" t="s">
        <v>87</v>
      </c>
      <c r="E109">
        <v>650</v>
      </c>
      <c r="F109">
        <v>320</v>
      </c>
      <c r="G109">
        <v>300</v>
      </c>
      <c r="H109">
        <v>15</v>
      </c>
      <c r="I109">
        <v>635</v>
      </c>
      <c r="J109" s="8">
        <f>Table1[[#This Row],[PartyAVotes]]/Table1[[#This Row],[RegisteredVoters]]</f>
        <v>0.49230769230769234</v>
      </c>
      <c r="K109" s="8">
        <f>Table1[[#This Row],[PartyBVotes]]/Table1[[#This Row],[RegisteredVoters]]</f>
        <v>0.46153846153846156</v>
      </c>
      <c r="L109" s="8">
        <f>Table1[[#This Row],[PartyCVotes]]/Table1[[#This Row],[RegisteredVoters]]</f>
        <v>2.3076923076923078E-2</v>
      </c>
      <c r="M109">
        <f>ABS(Table1[[#This Row],[PartyAVotes]]-Table1[[#This Row],[PartyBVotes]])</f>
        <v>20</v>
      </c>
      <c r="N109" s="11">
        <f>Table1[[#This Row],[TotalVotesCast]]/Table1[[#This Row],[RegisteredVoters]]</f>
        <v>0.97692307692307689</v>
      </c>
      <c r="O109" t="str">
        <f>IF(Table1[[#This Row],[RegisteredVoters]]=Table1[[#This Row],[TotalVotesCast]],"Match","")</f>
        <v/>
      </c>
    </row>
    <row r="110" spans="1:15" ht="13.2">
      <c r="A110" s="1" t="s">
        <v>150</v>
      </c>
      <c r="B110" t="s">
        <v>18</v>
      </c>
      <c r="C110" t="s">
        <v>19</v>
      </c>
      <c r="D110" t="s">
        <v>114</v>
      </c>
      <c r="E110">
        <v>920</v>
      </c>
      <c r="F110">
        <v>455</v>
      </c>
      <c r="G110">
        <v>430</v>
      </c>
      <c r="H110">
        <v>20</v>
      </c>
      <c r="I110">
        <v>905</v>
      </c>
      <c r="J110" s="8">
        <f>Table1[[#This Row],[PartyAVotes]]/Table1[[#This Row],[RegisteredVoters]]</f>
        <v>0.49456521739130432</v>
      </c>
      <c r="K110" s="8">
        <f>Table1[[#This Row],[PartyBVotes]]/Table1[[#This Row],[RegisteredVoters]]</f>
        <v>0.46739130434782611</v>
      </c>
      <c r="L110" s="8">
        <f>Table1[[#This Row],[PartyCVotes]]/Table1[[#This Row],[RegisteredVoters]]</f>
        <v>2.1739130434782608E-2</v>
      </c>
      <c r="M110">
        <f>ABS(Table1[[#This Row],[PartyAVotes]]-Table1[[#This Row],[PartyBVotes]])</f>
        <v>25</v>
      </c>
      <c r="N110" s="11">
        <f>Table1[[#This Row],[TotalVotesCast]]/Table1[[#This Row],[RegisteredVoters]]</f>
        <v>0.98369565217391308</v>
      </c>
      <c r="O110" t="str">
        <f>IF(Table1[[#This Row],[RegisteredVoters]]=Table1[[#This Row],[TotalVotesCast]],"Match","")</f>
        <v/>
      </c>
    </row>
    <row r="111" spans="1:15" ht="13.2">
      <c r="A111" s="1" t="s">
        <v>151</v>
      </c>
      <c r="B111" t="s">
        <v>21</v>
      </c>
      <c r="C111" t="s">
        <v>23</v>
      </c>
      <c r="D111" t="s">
        <v>96</v>
      </c>
      <c r="E111">
        <v>980</v>
      </c>
      <c r="F111">
        <v>485</v>
      </c>
      <c r="G111">
        <v>460</v>
      </c>
      <c r="H111">
        <v>20</v>
      </c>
      <c r="I111">
        <v>965</v>
      </c>
      <c r="J111" s="8">
        <f>Table1[[#This Row],[PartyAVotes]]/Table1[[#This Row],[RegisteredVoters]]</f>
        <v>0.49489795918367346</v>
      </c>
      <c r="K111" s="8">
        <f>Table1[[#This Row],[PartyBVotes]]/Table1[[#This Row],[RegisteredVoters]]</f>
        <v>0.46938775510204084</v>
      </c>
      <c r="L111" s="8">
        <f>Table1[[#This Row],[PartyCVotes]]/Table1[[#This Row],[RegisteredVoters]]</f>
        <v>2.0408163265306121E-2</v>
      </c>
      <c r="M111">
        <f>ABS(Table1[[#This Row],[PartyAVotes]]-Table1[[#This Row],[PartyBVotes]])</f>
        <v>25</v>
      </c>
      <c r="N111" s="11">
        <f>Table1[[#This Row],[TotalVotesCast]]/Table1[[#This Row],[RegisteredVoters]]</f>
        <v>0.98469387755102045</v>
      </c>
      <c r="O111" t="str">
        <f>IF(Table1[[#This Row],[RegisteredVoters]]=Table1[[#This Row],[TotalVotesCast]],"Match","")</f>
        <v/>
      </c>
    </row>
    <row r="112" spans="1:15" ht="13.2">
      <c r="A112" s="1" t="s">
        <v>152</v>
      </c>
      <c r="B112" t="s">
        <v>10</v>
      </c>
      <c r="C112" t="s">
        <v>11</v>
      </c>
      <c r="D112" t="s">
        <v>123</v>
      </c>
      <c r="E112">
        <v>520</v>
      </c>
      <c r="F112">
        <v>255</v>
      </c>
      <c r="G112">
        <v>235</v>
      </c>
      <c r="H112">
        <v>10</v>
      </c>
      <c r="I112">
        <v>500</v>
      </c>
      <c r="J112" s="8">
        <f>Table1[[#This Row],[PartyAVotes]]/Table1[[#This Row],[RegisteredVoters]]</f>
        <v>0.49038461538461536</v>
      </c>
      <c r="K112" s="8">
        <f>Table1[[#This Row],[PartyBVotes]]/Table1[[#This Row],[RegisteredVoters]]</f>
        <v>0.45192307692307693</v>
      </c>
      <c r="L112" s="8">
        <f>Table1[[#This Row],[PartyCVotes]]/Table1[[#This Row],[RegisteredVoters]]</f>
        <v>1.9230769230769232E-2</v>
      </c>
      <c r="M112">
        <f>ABS(Table1[[#This Row],[PartyAVotes]]-Table1[[#This Row],[PartyBVotes]])</f>
        <v>20</v>
      </c>
      <c r="N112" s="11">
        <f>Table1[[#This Row],[TotalVotesCast]]/Table1[[#This Row],[RegisteredVoters]]</f>
        <v>0.96153846153846156</v>
      </c>
      <c r="O112" t="str">
        <f>IF(Table1[[#This Row],[RegisteredVoters]]=Table1[[#This Row],[TotalVotesCast]],"Match","")</f>
        <v/>
      </c>
    </row>
    <row r="113" spans="1:15" ht="13.2">
      <c r="A113" s="1" t="s">
        <v>153</v>
      </c>
      <c r="B113" t="s">
        <v>15</v>
      </c>
      <c r="C113" t="s">
        <v>16</v>
      </c>
      <c r="D113" t="s">
        <v>123</v>
      </c>
      <c r="E113">
        <v>810</v>
      </c>
      <c r="F113">
        <v>405</v>
      </c>
      <c r="G113">
        <v>380</v>
      </c>
      <c r="H113">
        <v>15</v>
      </c>
      <c r="I113">
        <v>800</v>
      </c>
      <c r="J113" s="8">
        <f>Table1[[#This Row],[PartyAVotes]]/Table1[[#This Row],[RegisteredVoters]]</f>
        <v>0.5</v>
      </c>
      <c r="K113" s="8">
        <f>Table1[[#This Row],[PartyBVotes]]/Table1[[#This Row],[RegisteredVoters]]</f>
        <v>0.46913580246913578</v>
      </c>
      <c r="L113" s="8">
        <f>Table1[[#This Row],[PartyCVotes]]/Table1[[#This Row],[RegisteredVoters]]</f>
        <v>1.8518518518518517E-2</v>
      </c>
      <c r="M113">
        <f>ABS(Table1[[#This Row],[PartyAVotes]]-Table1[[#This Row],[PartyBVotes]])</f>
        <v>25</v>
      </c>
      <c r="N113" s="11">
        <f>Table1[[#This Row],[TotalVotesCast]]/Table1[[#This Row],[RegisteredVoters]]</f>
        <v>0.98765432098765427</v>
      </c>
      <c r="O113" t="str">
        <f>IF(Table1[[#This Row],[RegisteredVoters]]=Table1[[#This Row],[TotalVotesCast]],"Match","")</f>
        <v/>
      </c>
    </row>
    <row r="114" spans="1:15" ht="13.2">
      <c r="A114" s="1" t="s">
        <v>154</v>
      </c>
      <c r="B114" t="s">
        <v>18</v>
      </c>
      <c r="C114" t="s">
        <v>20</v>
      </c>
      <c r="D114" t="s">
        <v>155</v>
      </c>
      <c r="E114">
        <v>880</v>
      </c>
      <c r="F114">
        <v>435</v>
      </c>
      <c r="G114">
        <v>415</v>
      </c>
      <c r="H114">
        <v>15</v>
      </c>
      <c r="I114">
        <v>865</v>
      </c>
      <c r="J114" s="8">
        <f>Table1[[#This Row],[PartyAVotes]]/Table1[[#This Row],[RegisteredVoters]]</f>
        <v>0.49431818181818182</v>
      </c>
      <c r="K114" s="8">
        <f>Table1[[#This Row],[PartyBVotes]]/Table1[[#This Row],[RegisteredVoters]]</f>
        <v>0.47159090909090912</v>
      </c>
      <c r="L114" s="8">
        <f>Table1[[#This Row],[PartyCVotes]]/Table1[[#This Row],[RegisteredVoters]]</f>
        <v>1.7045454545454544E-2</v>
      </c>
      <c r="M114">
        <f>ABS(Table1[[#This Row],[PartyAVotes]]-Table1[[#This Row],[PartyBVotes]])</f>
        <v>20</v>
      </c>
      <c r="N114" s="11">
        <f>Table1[[#This Row],[TotalVotesCast]]/Table1[[#This Row],[RegisteredVoters]]</f>
        <v>0.98295454545454541</v>
      </c>
      <c r="O114" t="str">
        <f>IF(Table1[[#This Row],[RegisteredVoters]]=Table1[[#This Row],[TotalVotesCast]],"Match","")</f>
        <v/>
      </c>
    </row>
    <row r="115" spans="1:15" ht="13.2">
      <c r="A115" s="1" t="s">
        <v>156</v>
      </c>
      <c r="B115" t="s">
        <v>21</v>
      </c>
      <c r="C115" t="s">
        <v>22</v>
      </c>
      <c r="D115" t="s">
        <v>114</v>
      </c>
      <c r="E115">
        <v>1160</v>
      </c>
      <c r="F115">
        <v>565</v>
      </c>
      <c r="G115">
        <v>535</v>
      </c>
      <c r="H115">
        <v>25</v>
      </c>
      <c r="I115">
        <v>1125</v>
      </c>
      <c r="J115" s="8">
        <f>Table1[[#This Row],[PartyAVotes]]/Table1[[#This Row],[RegisteredVoters]]</f>
        <v>0.48706896551724138</v>
      </c>
      <c r="K115" s="8">
        <f>Table1[[#This Row],[PartyBVotes]]/Table1[[#This Row],[RegisteredVoters]]</f>
        <v>0.46120689655172414</v>
      </c>
      <c r="L115" s="8">
        <f>Table1[[#This Row],[PartyCVotes]]/Table1[[#This Row],[RegisteredVoters]]</f>
        <v>2.1551724137931036E-2</v>
      </c>
      <c r="M115">
        <f>ABS(Table1[[#This Row],[PartyAVotes]]-Table1[[#This Row],[PartyBVotes]])</f>
        <v>30</v>
      </c>
      <c r="N115" s="11">
        <f>Table1[[#This Row],[TotalVotesCast]]/Table1[[#This Row],[RegisteredVoters]]</f>
        <v>0.96982758620689657</v>
      </c>
      <c r="O115" t="str">
        <f>IF(Table1[[#This Row],[RegisteredVoters]]=Table1[[#This Row],[TotalVotesCast]],"Match","")</f>
        <v/>
      </c>
    </row>
    <row r="116" spans="1:15" ht="13.2">
      <c r="A116" s="1" t="s">
        <v>157</v>
      </c>
      <c r="B116" t="s">
        <v>10</v>
      </c>
      <c r="C116" t="s">
        <v>14</v>
      </c>
      <c r="D116" t="s">
        <v>114</v>
      </c>
      <c r="E116">
        <v>600</v>
      </c>
      <c r="F116">
        <v>295</v>
      </c>
      <c r="G116">
        <v>275</v>
      </c>
      <c r="H116">
        <v>15</v>
      </c>
      <c r="I116">
        <v>585</v>
      </c>
      <c r="J116" s="8">
        <f>Table1[[#This Row],[PartyAVotes]]/Table1[[#This Row],[RegisteredVoters]]</f>
        <v>0.49166666666666664</v>
      </c>
      <c r="K116" s="8">
        <f>Table1[[#This Row],[PartyBVotes]]/Table1[[#This Row],[RegisteredVoters]]</f>
        <v>0.45833333333333331</v>
      </c>
      <c r="L116" s="8">
        <f>Table1[[#This Row],[PartyCVotes]]/Table1[[#This Row],[RegisteredVoters]]</f>
        <v>2.5000000000000001E-2</v>
      </c>
      <c r="M116">
        <f>ABS(Table1[[#This Row],[PartyAVotes]]-Table1[[#This Row],[PartyBVotes]])</f>
        <v>20</v>
      </c>
      <c r="N116" s="11">
        <f>Table1[[#This Row],[TotalVotesCast]]/Table1[[#This Row],[RegisteredVoters]]</f>
        <v>0.97499999999999998</v>
      </c>
      <c r="O116" t="str">
        <f>IF(Table1[[#This Row],[RegisteredVoters]]=Table1[[#This Row],[TotalVotesCast]],"Match","")</f>
        <v/>
      </c>
    </row>
    <row r="117" spans="1:15" ht="13.2">
      <c r="A117" s="1" t="s">
        <v>158</v>
      </c>
      <c r="B117" t="s">
        <v>15</v>
      </c>
      <c r="C117" t="s">
        <v>17</v>
      </c>
      <c r="D117" t="s">
        <v>96</v>
      </c>
      <c r="E117">
        <v>660</v>
      </c>
      <c r="F117">
        <v>325</v>
      </c>
      <c r="G117">
        <v>305</v>
      </c>
      <c r="H117">
        <v>15</v>
      </c>
      <c r="I117">
        <v>645</v>
      </c>
      <c r="J117" s="8">
        <f>Table1[[#This Row],[PartyAVotes]]/Table1[[#This Row],[RegisteredVoters]]</f>
        <v>0.49242424242424243</v>
      </c>
      <c r="K117" s="8">
        <f>Table1[[#This Row],[PartyBVotes]]/Table1[[#This Row],[RegisteredVoters]]</f>
        <v>0.4621212121212121</v>
      </c>
      <c r="L117" s="8">
        <f>Table1[[#This Row],[PartyCVotes]]/Table1[[#This Row],[RegisteredVoters]]</f>
        <v>2.2727272727272728E-2</v>
      </c>
      <c r="M117">
        <f>ABS(Table1[[#This Row],[PartyAVotes]]-Table1[[#This Row],[PartyBVotes]])</f>
        <v>20</v>
      </c>
      <c r="N117" s="11">
        <f>Table1[[#This Row],[TotalVotesCast]]/Table1[[#This Row],[RegisteredVoters]]</f>
        <v>0.97727272727272729</v>
      </c>
      <c r="O117" t="str">
        <f>IF(Table1[[#This Row],[RegisteredVoters]]=Table1[[#This Row],[TotalVotesCast]],"Match","")</f>
        <v/>
      </c>
    </row>
    <row r="118" spans="1:15" ht="13.2">
      <c r="A118" s="1" t="s">
        <v>159</v>
      </c>
      <c r="B118" t="s">
        <v>18</v>
      </c>
      <c r="C118" t="s">
        <v>19</v>
      </c>
      <c r="D118" t="s">
        <v>123</v>
      </c>
      <c r="E118">
        <v>930</v>
      </c>
      <c r="F118">
        <v>460</v>
      </c>
      <c r="G118">
        <v>435</v>
      </c>
      <c r="H118">
        <v>20</v>
      </c>
      <c r="I118">
        <v>915</v>
      </c>
      <c r="J118" s="8">
        <f>Table1[[#This Row],[PartyAVotes]]/Table1[[#This Row],[RegisteredVoters]]</f>
        <v>0.4946236559139785</v>
      </c>
      <c r="K118" s="8">
        <f>Table1[[#This Row],[PartyBVotes]]/Table1[[#This Row],[RegisteredVoters]]</f>
        <v>0.46774193548387094</v>
      </c>
      <c r="L118" s="8">
        <f>Table1[[#This Row],[PartyCVotes]]/Table1[[#This Row],[RegisteredVoters]]</f>
        <v>2.1505376344086023E-2</v>
      </c>
      <c r="M118">
        <f>ABS(Table1[[#This Row],[PartyAVotes]]-Table1[[#This Row],[PartyBVotes]])</f>
        <v>25</v>
      </c>
      <c r="N118" s="11">
        <f>Table1[[#This Row],[TotalVotesCast]]/Table1[[#This Row],[RegisteredVoters]]</f>
        <v>0.9838709677419355</v>
      </c>
      <c r="O118" t="str">
        <f>IF(Table1[[#This Row],[RegisteredVoters]]=Table1[[#This Row],[TotalVotesCast]],"Match","")</f>
        <v/>
      </c>
    </row>
    <row r="119" spans="1:15" ht="13.2">
      <c r="A119" s="1" t="s">
        <v>160</v>
      </c>
      <c r="B119" t="s">
        <v>21</v>
      </c>
      <c r="C119" t="s">
        <v>23</v>
      </c>
      <c r="D119" t="s">
        <v>105</v>
      </c>
      <c r="E119">
        <v>990</v>
      </c>
      <c r="F119">
        <v>490</v>
      </c>
      <c r="G119">
        <v>465</v>
      </c>
      <c r="H119">
        <v>20</v>
      </c>
      <c r="I119">
        <v>975</v>
      </c>
      <c r="J119" s="8">
        <f>Table1[[#This Row],[PartyAVotes]]/Table1[[#This Row],[RegisteredVoters]]</f>
        <v>0.49494949494949497</v>
      </c>
      <c r="K119" s="8">
        <f>Table1[[#This Row],[PartyBVotes]]/Table1[[#This Row],[RegisteredVoters]]</f>
        <v>0.46969696969696972</v>
      </c>
      <c r="L119" s="8">
        <f>Table1[[#This Row],[PartyCVotes]]/Table1[[#This Row],[RegisteredVoters]]</f>
        <v>2.0202020202020204E-2</v>
      </c>
      <c r="M119">
        <f>ABS(Table1[[#This Row],[PartyAVotes]]-Table1[[#This Row],[PartyBVotes]])</f>
        <v>25</v>
      </c>
      <c r="N119" s="11">
        <f>Table1[[#This Row],[TotalVotesCast]]/Table1[[#This Row],[RegisteredVoters]]</f>
        <v>0.98484848484848486</v>
      </c>
      <c r="O119" t="str">
        <f>IF(Table1[[#This Row],[RegisteredVoters]]=Table1[[#This Row],[TotalVotesCast]],"Match","")</f>
        <v/>
      </c>
    </row>
    <row r="120" spans="1:15" ht="13.2">
      <c r="A120" s="1" t="s">
        <v>161</v>
      </c>
      <c r="B120" t="s">
        <v>10</v>
      </c>
      <c r="C120" t="s">
        <v>11</v>
      </c>
      <c r="D120" t="s">
        <v>132</v>
      </c>
      <c r="E120">
        <v>530</v>
      </c>
      <c r="F120">
        <v>260</v>
      </c>
      <c r="G120">
        <v>240</v>
      </c>
      <c r="H120">
        <v>10</v>
      </c>
      <c r="I120">
        <v>510</v>
      </c>
      <c r="J120" s="8">
        <f>Table1[[#This Row],[PartyAVotes]]/Table1[[#This Row],[RegisteredVoters]]</f>
        <v>0.49056603773584906</v>
      </c>
      <c r="K120" s="8">
        <f>Table1[[#This Row],[PartyBVotes]]/Table1[[#This Row],[RegisteredVoters]]</f>
        <v>0.45283018867924529</v>
      </c>
      <c r="L120" s="8">
        <f>Table1[[#This Row],[PartyCVotes]]/Table1[[#This Row],[RegisteredVoters]]</f>
        <v>1.8867924528301886E-2</v>
      </c>
      <c r="M120">
        <f>ABS(Table1[[#This Row],[PartyAVotes]]-Table1[[#This Row],[PartyBVotes]])</f>
        <v>20</v>
      </c>
      <c r="N120" s="11">
        <f>Table1[[#This Row],[TotalVotesCast]]/Table1[[#This Row],[RegisteredVoters]]</f>
        <v>0.96226415094339623</v>
      </c>
      <c r="O120" t="str">
        <f>IF(Table1[[#This Row],[RegisteredVoters]]=Table1[[#This Row],[TotalVotesCast]],"Match","")</f>
        <v/>
      </c>
    </row>
    <row r="121" spans="1:15" ht="13.2">
      <c r="A121" s="1" t="s">
        <v>162</v>
      </c>
      <c r="B121" t="s">
        <v>15</v>
      </c>
      <c r="C121" t="s">
        <v>16</v>
      </c>
      <c r="D121" t="s">
        <v>132</v>
      </c>
      <c r="E121">
        <v>820</v>
      </c>
      <c r="F121">
        <v>410</v>
      </c>
      <c r="G121">
        <v>385</v>
      </c>
      <c r="H121">
        <v>15</v>
      </c>
      <c r="I121">
        <v>810</v>
      </c>
      <c r="J121" s="8">
        <f>Table1[[#This Row],[PartyAVotes]]/Table1[[#This Row],[RegisteredVoters]]</f>
        <v>0.5</v>
      </c>
      <c r="K121" s="8">
        <f>Table1[[#This Row],[PartyBVotes]]/Table1[[#This Row],[RegisteredVoters]]</f>
        <v>0.46951219512195119</v>
      </c>
      <c r="L121" s="8">
        <f>Table1[[#This Row],[PartyCVotes]]/Table1[[#This Row],[RegisteredVoters]]</f>
        <v>1.8292682926829267E-2</v>
      </c>
      <c r="M121">
        <f>ABS(Table1[[#This Row],[PartyAVotes]]-Table1[[#This Row],[PartyBVotes]])</f>
        <v>25</v>
      </c>
      <c r="N121" s="11">
        <f>Table1[[#This Row],[TotalVotesCast]]/Table1[[#This Row],[RegisteredVoters]]</f>
        <v>0.98780487804878048</v>
      </c>
      <c r="O121" t="str">
        <f>IF(Table1[[#This Row],[RegisteredVoters]]=Table1[[#This Row],[TotalVotesCast]],"Match","")</f>
        <v/>
      </c>
    </row>
    <row r="122" spans="1:15" ht="13.2">
      <c r="A122" s="1" t="s">
        <v>163</v>
      </c>
      <c r="B122" t="s">
        <v>18</v>
      </c>
      <c r="C122" t="s">
        <v>20</v>
      </c>
      <c r="D122" t="s">
        <v>164</v>
      </c>
      <c r="E122">
        <v>890</v>
      </c>
      <c r="F122">
        <v>440</v>
      </c>
      <c r="G122">
        <v>420</v>
      </c>
      <c r="H122">
        <v>15</v>
      </c>
      <c r="I122">
        <v>875</v>
      </c>
      <c r="J122" s="8">
        <f>Table1[[#This Row],[PartyAVotes]]/Table1[[#This Row],[RegisteredVoters]]</f>
        <v>0.4943820224719101</v>
      </c>
      <c r="K122" s="8">
        <f>Table1[[#This Row],[PartyBVotes]]/Table1[[#This Row],[RegisteredVoters]]</f>
        <v>0.47191011235955055</v>
      </c>
      <c r="L122" s="8">
        <f>Table1[[#This Row],[PartyCVotes]]/Table1[[#This Row],[RegisteredVoters]]</f>
        <v>1.6853932584269662E-2</v>
      </c>
      <c r="M122">
        <f>ABS(Table1[[#This Row],[PartyAVotes]]-Table1[[#This Row],[PartyBVotes]])</f>
        <v>20</v>
      </c>
      <c r="N122" s="11">
        <f>Table1[[#This Row],[TotalVotesCast]]/Table1[[#This Row],[RegisteredVoters]]</f>
        <v>0.9831460674157303</v>
      </c>
      <c r="O122" t="str">
        <f>IF(Table1[[#This Row],[RegisteredVoters]]=Table1[[#This Row],[TotalVotesCast]],"Match","")</f>
        <v/>
      </c>
    </row>
    <row r="123" spans="1:15" ht="13.2">
      <c r="A123" s="1" t="s">
        <v>165</v>
      </c>
      <c r="B123" t="s">
        <v>21</v>
      </c>
      <c r="C123" t="s">
        <v>22</v>
      </c>
      <c r="D123" t="s">
        <v>123</v>
      </c>
      <c r="E123">
        <v>1170</v>
      </c>
      <c r="F123">
        <v>570</v>
      </c>
      <c r="G123">
        <v>540</v>
      </c>
      <c r="H123">
        <v>25</v>
      </c>
      <c r="I123">
        <v>1135</v>
      </c>
      <c r="J123" s="8">
        <f>Table1[[#This Row],[PartyAVotes]]/Table1[[#This Row],[RegisteredVoters]]</f>
        <v>0.48717948717948717</v>
      </c>
      <c r="K123" s="8">
        <f>Table1[[#This Row],[PartyBVotes]]/Table1[[#This Row],[RegisteredVoters]]</f>
        <v>0.46153846153846156</v>
      </c>
      <c r="L123" s="8">
        <f>Table1[[#This Row],[PartyCVotes]]/Table1[[#This Row],[RegisteredVoters]]</f>
        <v>2.1367521367521368E-2</v>
      </c>
      <c r="M123">
        <f>ABS(Table1[[#This Row],[PartyAVotes]]-Table1[[#This Row],[PartyBVotes]])</f>
        <v>30</v>
      </c>
      <c r="N123" s="11">
        <f>Table1[[#This Row],[TotalVotesCast]]/Table1[[#This Row],[RegisteredVoters]]</f>
        <v>0.97008547008547008</v>
      </c>
      <c r="O123" t="str">
        <f>IF(Table1[[#This Row],[RegisteredVoters]]=Table1[[#This Row],[TotalVotesCast]],"Match","")</f>
        <v/>
      </c>
    </row>
    <row r="124" spans="1:15" ht="13.2">
      <c r="A124" s="1" t="s">
        <v>166</v>
      </c>
      <c r="B124" t="s">
        <v>10</v>
      </c>
      <c r="C124" t="s">
        <v>14</v>
      </c>
      <c r="D124" t="s">
        <v>123</v>
      </c>
      <c r="E124">
        <v>610</v>
      </c>
      <c r="F124">
        <v>300</v>
      </c>
      <c r="G124">
        <v>280</v>
      </c>
      <c r="H124">
        <v>15</v>
      </c>
      <c r="I124">
        <v>595</v>
      </c>
      <c r="J124" s="8">
        <f>Table1[[#This Row],[PartyAVotes]]/Table1[[#This Row],[RegisteredVoters]]</f>
        <v>0.49180327868852458</v>
      </c>
      <c r="K124" s="8">
        <f>Table1[[#This Row],[PartyBVotes]]/Table1[[#This Row],[RegisteredVoters]]</f>
        <v>0.45901639344262296</v>
      </c>
      <c r="L124" s="8">
        <f>Table1[[#This Row],[PartyCVotes]]/Table1[[#This Row],[RegisteredVoters]]</f>
        <v>2.4590163934426229E-2</v>
      </c>
      <c r="M124">
        <f>ABS(Table1[[#This Row],[PartyAVotes]]-Table1[[#This Row],[PartyBVotes]])</f>
        <v>20</v>
      </c>
      <c r="N124" s="11">
        <f>Table1[[#This Row],[TotalVotesCast]]/Table1[[#This Row],[RegisteredVoters]]</f>
        <v>0.97540983606557374</v>
      </c>
      <c r="O124" t="str">
        <f>IF(Table1[[#This Row],[RegisteredVoters]]=Table1[[#This Row],[TotalVotesCast]],"Match","")</f>
        <v/>
      </c>
    </row>
    <row r="125" spans="1:15" ht="13.2">
      <c r="A125" s="1" t="s">
        <v>167</v>
      </c>
      <c r="B125" t="s">
        <v>15</v>
      </c>
      <c r="C125" t="s">
        <v>17</v>
      </c>
      <c r="D125" t="s">
        <v>105</v>
      </c>
      <c r="E125">
        <v>670</v>
      </c>
      <c r="F125">
        <v>330</v>
      </c>
      <c r="G125">
        <v>310</v>
      </c>
      <c r="H125">
        <v>15</v>
      </c>
      <c r="I125">
        <v>655</v>
      </c>
      <c r="J125" s="8">
        <f>Table1[[#This Row],[PartyAVotes]]/Table1[[#This Row],[RegisteredVoters]]</f>
        <v>0.4925373134328358</v>
      </c>
      <c r="K125" s="8">
        <f>Table1[[#This Row],[PartyBVotes]]/Table1[[#This Row],[RegisteredVoters]]</f>
        <v>0.46268656716417911</v>
      </c>
      <c r="L125" s="8">
        <f>Table1[[#This Row],[PartyCVotes]]/Table1[[#This Row],[RegisteredVoters]]</f>
        <v>2.2388059701492536E-2</v>
      </c>
      <c r="M125">
        <f>ABS(Table1[[#This Row],[PartyAVotes]]-Table1[[#This Row],[PartyBVotes]])</f>
        <v>20</v>
      </c>
      <c r="N125" s="11">
        <f>Table1[[#This Row],[TotalVotesCast]]/Table1[[#This Row],[RegisteredVoters]]</f>
        <v>0.97761194029850751</v>
      </c>
      <c r="O125" t="str">
        <f>IF(Table1[[#This Row],[RegisteredVoters]]=Table1[[#This Row],[TotalVotesCast]],"Match","")</f>
        <v/>
      </c>
    </row>
    <row r="126" spans="1:15" ht="13.2">
      <c r="A126" s="1" t="s">
        <v>168</v>
      </c>
      <c r="B126" t="s">
        <v>18</v>
      </c>
      <c r="C126" t="s">
        <v>19</v>
      </c>
      <c r="D126" t="s">
        <v>132</v>
      </c>
      <c r="E126">
        <v>940</v>
      </c>
      <c r="F126">
        <v>465</v>
      </c>
      <c r="G126">
        <v>440</v>
      </c>
      <c r="H126">
        <v>20</v>
      </c>
      <c r="I126">
        <v>925</v>
      </c>
      <c r="J126" s="8">
        <f>Table1[[#This Row],[PartyAVotes]]/Table1[[#This Row],[RegisteredVoters]]</f>
        <v>0.49468085106382981</v>
      </c>
      <c r="K126" s="8">
        <f>Table1[[#This Row],[PartyBVotes]]/Table1[[#This Row],[RegisteredVoters]]</f>
        <v>0.46808510638297873</v>
      </c>
      <c r="L126" s="8">
        <f>Table1[[#This Row],[PartyCVotes]]/Table1[[#This Row],[RegisteredVoters]]</f>
        <v>2.1276595744680851E-2</v>
      </c>
      <c r="M126">
        <f>ABS(Table1[[#This Row],[PartyAVotes]]-Table1[[#This Row],[PartyBVotes]])</f>
        <v>25</v>
      </c>
      <c r="N126" s="11">
        <f>Table1[[#This Row],[TotalVotesCast]]/Table1[[#This Row],[RegisteredVoters]]</f>
        <v>0.98404255319148937</v>
      </c>
      <c r="O126" t="str">
        <f>IF(Table1[[#This Row],[RegisteredVoters]]=Table1[[#This Row],[TotalVotesCast]],"Match","")</f>
        <v/>
      </c>
    </row>
    <row r="127" spans="1:15" ht="13.2">
      <c r="A127" s="1" t="s">
        <v>169</v>
      </c>
      <c r="B127" t="s">
        <v>21</v>
      </c>
      <c r="C127" t="s">
        <v>23</v>
      </c>
      <c r="D127" t="s">
        <v>114</v>
      </c>
      <c r="E127">
        <v>1000</v>
      </c>
      <c r="F127">
        <v>495</v>
      </c>
      <c r="G127">
        <v>470</v>
      </c>
      <c r="H127">
        <v>20</v>
      </c>
      <c r="I127">
        <v>985</v>
      </c>
      <c r="J127" s="8">
        <f>Table1[[#This Row],[PartyAVotes]]/Table1[[#This Row],[RegisteredVoters]]</f>
        <v>0.495</v>
      </c>
      <c r="K127" s="8">
        <f>Table1[[#This Row],[PartyBVotes]]/Table1[[#This Row],[RegisteredVoters]]</f>
        <v>0.47</v>
      </c>
      <c r="L127" s="8">
        <f>Table1[[#This Row],[PartyCVotes]]/Table1[[#This Row],[RegisteredVoters]]</f>
        <v>0.02</v>
      </c>
      <c r="M127">
        <f>ABS(Table1[[#This Row],[PartyAVotes]]-Table1[[#This Row],[PartyBVotes]])</f>
        <v>25</v>
      </c>
      <c r="N127" s="11">
        <f>Table1[[#This Row],[TotalVotesCast]]/Table1[[#This Row],[RegisteredVoters]]</f>
        <v>0.98499999999999999</v>
      </c>
      <c r="O127" t="str">
        <f>IF(Table1[[#This Row],[RegisteredVoters]]=Table1[[#This Row],[TotalVotesCast]],"Match","")</f>
        <v/>
      </c>
    </row>
    <row r="128" spans="1:15" ht="13.2">
      <c r="A128" s="1" t="s">
        <v>170</v>
      </c>
      <c r="B128" t="s">
        <v>10</v>
      </c>
      <c r="C128" t="s">
        <v>11</v>
      </c>
      <c r="D128" t="s">
        <v>141</v>
      </c>
      <c r="E128">
        <v>540</v>
      </c>
      <c r="F128">
        <v>265</v>
      </c>
      <c r="G128">
        <v>245</v>
      </c>
      <c r="H128">
        <v>10</v>
      </c>
      <c r="I128">
        <v>520</v>
      </c>
      <c r="J128" s="8">
        <f>Table1[[#This Row],[PartyAVotes]]/Table1[[#This Row],[RegisteredVoters]]</f>
        <v>0.49074074074074076</v>
      </c>
      <c r="K128" s="8">
        <f>Table1[[#This Row],[PartyBVotes]]/Table1[[#This Row],[RegisteredVoters]]</f>
        <v>0.45370370370370372</v>
      </c>
      <c r="L128" s="8">
        <f>Table1[[#This Row],[PartyCVotes]]/Table1[[#This Row],[RegisteredVoters]]</f>
        <v>1.8518518518518517E-2</v>
      </c>
      <c r="M128">
        <f>ABS(Table1[[#This Row],[PartyAVotes]]-Table1[[#This Row],[PartyBVotes]])</f>
        <v>20</v>
      </c>
      <c r="N128" s="11">
        <f>Table1[[#This Row],[TotalVotesCast]]/Table1[[#This Row],[RegisteredVoters]]</f>
        <v>0.96296296296296291</v>
      </c>
      <c r="O128" t="str">
        <f>IF(Table1[[#This Row],[RegisteredVoters]]=Table1[[#This Row],[TotalVotesCast]],"Match","")</f>
        <v/>
      </c>
    </row>
    <row r="129" spans="1:15" ht="13.2">
      <c r="A129" s="1" t="s">
        <v>171</v>
      </c>
      <c r="B129" t="s">
        <v>15</v>
      </c>
      <c r="C129" t="s">
        <v>16</v>
      </c>
      <c r="D129" t="s">
        <v>141</v>
      </c>
      <c r="E129">
        <v>830</v>
      </c>
      <c r="F129">
        <v>415</v>
      </c>
      <c r="G129">
        <v>390</v>
      </c>
      <c r="H129">
        <v>15</v>
      </c>
      <c r="I129">
        <v>820</v>
      </c>
      <c r="J129" s="8">
        <f>Table1[[#This Row],[PartyAVotes]]/Table1[[#This Row],[RegisteredVoters]]</f>
        <v>0.5</v>
      </c>
      <c r="K129" s="8">
        <f>Table1[[#This Row],[PartyBVotes]]/Table1[[#This Row],[RegisteredVoters]]</f>
        <v>0.46987951807228917</v>
      </c>
      <c r="L129" s="8">
        <f>Table1[[#This Row],[PartyCVotes]]/Table1[[#This Row],[RegisteredVoters]]</f>
        <v>1.8072289156626505E-2</v>
      </c>
      <c r="M129">
        <f>ABS(Table1[[#This Row],[PartyAVotes]]-Table1[[#This Row],[PartyBVotes]])</f>
        <v>25</v>
      </c>
      <c r="N129" s="11">
        <f>Table1[[#This Row],[TotalVotesCast]]/Table1[[#This Row],[RegisteredVoters]]</f>
        <v>0.98795180722891562</v>
      </c>
      <c r="O129" t="str">
        <f>IF(Table1[[#This Row],[RegisteredVoters]]=Table1[[#This Row],[TotalVotesCast]],"Match","")</f>
        <v/>
      </c>
    </row>
    <row r="130" spans="1:15" ht="13.2">
      <c r="A130" s="1" t="s">
        <v>172</v>
      </c>
      <c r="B130" t="s">
        <v>18</v>
      </c>
      <c r="C130" t="s">
        <v>20</v>
      </c>
      <c r="D130" t="s">
        <v>173</v>
      </c>
      <c r="E130">
        <v>900</v>
      </c>
      <c r="F130">
        <v>445</v>
      </c>
      <c r="G130">
        <v>425</v>
      </c>
      <c r="H130">
        <v>15</v>
      </c>
      <c r="I130">
        <v>885</v>
      </c>
      <c r="J130" s="8">
        <f>Table1[[#This Row],[PartyAVotes]]/Table1[[#This Row],[RegisteredVoters]]</f>
        <v>0.49444444444444446</v>
      </c>
      <c r="K130" s="8">
        <f>Table1[[#This Row],[PartyBVotes]]/Table1[[#This Row],[RegisteredVoters]]</f>
        <v>0.47222222222222221</v>
      </c>
      <c r="L130" s="8">
        <f>Table1[[#This Row],[PartyCVotes]]/Table1[[#This Row],[RegisteredVoters]]</f>
        <v>1.6666666666666666E-2</v>
      </c>
      <c r="M130">
        <f>ABS(Table1[[#This Row],[PartyAVotes]]-Table1[[#This Row],[PartyBVotes]])</f>
        <v>20</v>
      </c>
      <c r="N130" s="11">
        <f>Table1[[#This Row],[TotalVotesCast]]/Table1[[#This Row],[RegisteredVoters]]</f>
        <v>0.98333333333333328</v>
      </c>
      <c r="O130" t="str">
        <f>IF(Table1[[#This Row],[RegisteredVoters]]=Table1[[#This Row],[TotalVotesCast]],"Match","")</f>
        <v/>
      </c>
    </row>
    <row r="131" spans="1:15" ht="13.2">
      <c r="A131" s="1" t="s">
        <v>174</v>
      </c>
      <c r="B131" t="s">
        <v>21</v>
      </c>
      <c r="C131" t="s">
        <v>22</v>
      </c>
      <c r="D131" t="s">
        <v>132</v>
      </c>
      <c r="E131">
        <v>1180</v>
      </c>
      <c r="F131">
        <v>575</v>
      </c>
      <c r="G131">
        <v>545</v>
      </c>
      <c r="H131">
        <v>25</v>
      </c>
      <c r="I131">
        <v>1145</v>
      </c>
      <c r="J131" s="8">
        <f>Table1[[#This Row],[PartyAVotes]]/Table1[[#This Row],[RegisteredVoters]]</f>
        <v>0.48728813559322032</v>
      </c>
      <c r="K131" s="8">
        <f>Table1[[#This Row],[PartyBVotes]]/Table1[[#This Row],[RegisteredVoters]]</f>
        <v>0.46186440677966101</v>
      </c>
      <c r="L131" s="8">
        <f>Table1[[#This Row],[PartyCVotes]]/Table1[[#This Row],[RegisteredVoters]]</f>
        <v>2.1186440677966101E-2</v>
      </c>
      <c r="M131">
        <f>ABS(Table1[[#This Row],[PartyAVotes]]-Table1[[#This Row],[PartyBVotes]])</f>
        <v>30</v>
      </c>
      <c r="N131" s="11">
        <f>Table1[[#This Row],[TotalVotesCast]]/Table1[[#This Row],[RegisteredVoters]]</f>
        <v>0.97033898305084743</v>
      </c>
      <c r="O131" t="str">
        <f>IF(Table1[[#This Row],[RegisteredVoters]]=Table1[[#This Row],[TotalVotesCast]],"Match","")</f>
        <v/>
      </c>
    </row>
    <row r="132" spans="1:15" ht="13.2">
      <c r="A132" s="1" t="s">
        <v>175</v>
      </c>
      <c r="B132" t="s">
        <v>10</v>
      </c>
      <c r="C132" t="s">
        <v>14</v>
      </c>
      <c r="D132" t="s">
        <v>132</v>
      </c>
      <c r="E132">
        <v>620</v>
      </c>
      <c r="F132">
        <v>305</v>
      </c>
      <c r="G132">
        <v>285</v>
      </c>
      <c r="H132">
        <v>15</v>
      </c>
      <c r="I132">
        <v>605</v>
      </c>
      <c r="J132" s="8">
        <f>Table1[[#This Row],[PartyAVotes]]/Table1[[#This Row],[RegisteredVoters]]</f>
        <v>0.49193548387096775</v>
      </c>
      <c r="K132" s="8">
        <f>Table1[[#This Row],[PartyBVotes]]/Table1[[#This Row],[RegisteredVoters]]</f>
        <v>0.45967741935483869</v>
      </c>
      <c r="L132" s="8">
        <f>Table1[[#This Row],[PartyCVotes]]/Table1[[#This Row],[RegisteredVoters]]</f>
        <v>2.4193548387096774E-2</v>
      </c>
      <c r="M132">
        <f>ABS(Table1[[#This Row],[PartyAVotes]]-Table1[[#This Row],[PartyBVotes]])</f>
        <v>20</v>
      </c>
      <c r="N132" s="11">
        <f>Table1[[#This Row],[TotalVotesCast]]/Table1[[#This Row],[RegisteredVoters]]</f>
        <v>0.97580645161290325</v>
      </c>
      <c r="O132" t="str">
        <f>IF(Table1[[#This Row],[RegisteredVoters]]=Table1[[#This Row],[TotalVotesCast]],"Match","")</f>
        <v/>
      </c>
    </row>
    <row r="133" spans="1:15" ht="13.2">
      <c r="A133" s="1" t="s">
        <v>176</v>
      </c>
      <c r="B133" t="s">
        <v>15</v>
      </c>
      <c r="C133" t="s">
        <v>17</v>
      </c>
      <c r="D133" t="s">
        <v>114</v>
      </c>
      <c r="E133">
        <v>680</v>
      </c>
      <c r="F133">
        <v>335</v>
      </c>
      <c r="G133">
        <v>315</v>
      </c>
      <c r="H133">
        <v>15</v>
      </c>
      <c r="I133">
        <v>665</v>
      </c>
      <c r="J133" s="8">
        <f>Table1[[#This Row],[PartyAVotes]]/Table1[[#This Row],[RegisteredVoters]]</f>
        <v>0.49264705882352944</v>
      </c>
      <c r="K133" s="8">
        <f>Table1[[#This Row],[PartyBVotes]]/Table1[[#This Row],[RegisteredVoters]]</f>
        <v>0.46323529411764708</v>
      </c>
      <c r="L133" s="8">
        <f>Table1[[#This Row],[PartyCVotes]]/Table1[[#This Row],[RegisteredVoters]]</f>
        <v>2.2058823529411766E-2</v>
      </c>
      <c r="M133">
        <f>ABS(Table1[[#This Row],[PartyAVotes]]-Table1[[#This Row],[PartyBVotes]])</f>
        <v>20</v>
      </c>
      <c r="N133" s="11">
        <f>Table1[[#This Row],[TotalVotesCast]]/Table1[[#This Row],[RegisteredVoters]]</f>
        <v>0.9779411764705882</v>
      </c>
      <c r="O133" t="str">
        <f>IF(Table1[[#This Row],[RegisteredVoters]]=Table1[[#This Row],[TotalVotesCast]],"Match","")</f>
        <v/>
      </c>
    </row>
    <row r="134" spans="1:15" ht="13.2">
      <c r="A134" s="1" t="s">
        <v>177</v>
      </c>
      <c r="B134" t="s">
        <v>18</v>
      </c>
      <c r="C134" t="s">
        <v>19</v>
      </c>
      <c r="D134" t="s">
        <v>141</v>
      </c>
      <c r="E134">
        <v>950</v>
      </c>
      <c r="F134">
        <v>470</v>
      </c>
      <c r="G134">
        <v>445</v>
      </c>
      <c r="H134">
        <v>20</v>
      </c>
      <c r="I134">
        <v>935</v>
      </c>
      <c r="J134" s="8">
        <f>Table1[[#This Row],[PartyAVotes]]/Table1[[#This Row],[RegisteredVoters]]</f>
        <v>0.49473684210526314</v>
      </c>
      <c r="K134" s="8">
        <f>Table1[[#This Row],[PartyBVotes]]/Table1[[#This Row],[RegisteredVoters]]</f>
        <v>0.46842105263157896</v>
      </c>
      <c r="L134" s="8">
        <f>Table1[[#This Row],[PartyCVotes]]/Table1[[#This Row],[RegisteredVoters]]</f>
        <v>2.1052631578947368E-2</v>
      </c>
      <c r="M134">
        <f>ABS(Table1[[#This Row],[PartyAVotes]]-Table1[[#This Row],[PartyBVotes]])</f>
        <v>25</v>
      </c>
      <c r="N134" s="11">
        <f>Table1[[#This Row],[TotalVotesCast]]/Table1[[#This Row],[RegisteredVoters]]</f>
        <v>0.98421052631578942</v>
      </c>
      <c r="O134" t="str">
        <f>IF(Table1[[#This Row],[RegisteredVoters]]=Table1[[#This Row],[TotalVotesCast]],"Match","")</f>
        <v/>
      </c>
    </row>
    <row r="135" spans="1:15" ht="13.2">
      <c r="A135" s="1" t="s">
        <v>178</v>
      </c>
      <c r="B135" t="s">
        <v>21</v>
      </c>
      <c r="C135" t="s">
        <v>23</v>
      </c>
      <c r="D135" t="s">
        <v>123</v>
      </c>
      <c r="E135">
        <v>1010</v>
      </c>
      <c r="F135">
        <v>500</v>
      </c>
      <c r="G135">
        <v>475</v>
      </c>
      <c r="H135">
        <v>20</v>
      </c>
      <c r="I135">
        <v>995</v>
      </c>
      <c r="J135" s="8">
        <f>Table1[[#This Row],[PartyAVotes]]/Table1[[#This Row],[RegisteredVoters]]</f>
        <v>0.49504950495049505</v>
      </c>
      <c r="K135" s="8">
        <f>Table1[[#This Row],[PartyBVotes]]/Table1[[#This Row],[RegisteredVoters]]</f>
        <v>0.47029702970297027</v>
      </c>
      <c r="L135" s="8">
        <f>Table1[[#This Row],[PartyCVotes]]/Table1[[#This Row],[RegisteredVoters]]</f>
        <v>1.9801980198019802E-2</v>
      </c>
      <c r="M135">
        <f>ABS(Table1[[#This Row],[PartyAVotes]]-Table1[[#This Row],[PartyBVotes]])</f>
        <v>25</v>
      </c>
      <c r="N135" s="11">
        <f>Table1[[#This Row],[TotalVotesCast]]/Table1[[#This Row],[RegisteredVoters]]</f>
        <v>0.98514851485148514</v>
      </c>
      <c r="O135" t="str">
        <f>IF(Table1[[#This Row],[RegisteredVoters]]=Table1[[#This Row],[TotalVotesCast]],"Match","")</f>
        <v/>
      </c>
    </row>
    <row r="136" spans="1:15" ht="13.2">
      <c r="A136" s="1" t="s">
        <v>179</v>
      </c>
      <c r="B136" t="s">
        <v>10</v>
      </c>
      <c r="C136" t="s">
        <v>11</v>
      </c>
      <c r="D136" t="s">
        <v>146</v>
      </c>
      <c r="E136">
        <v>550</v>
      </c>
      <c r="F136">
        <v>270</v>
      </c>
      <c r="G136">
        <v>250</v>
      </c>
      <c r="H136">
        <v>10</v>
      </c>
      <c r="I136">
        <v>530</v>
      </c>
      <c r="J136" s="8">
        <f>Table1[[#This Row],[PartyAVotes]]/Table1[[#This Row],[RegisteredVoters]]</f>
        <v>0.49090909090909091</v>
      </c>
      <c r="K136" s="8">
        <f>Table1[[#This Row],[PartyBVotes]]/Table1[[#This Row],[RegisteredVoters]]</f>
        <v>0.45454545454545453</v>
      </c>
      <c r="L136" s="8">
        <f>Table1[[#This Row],[PartyCVotes]]/Table1[[#This Row],[RegisteredVoters]]</f>
        <v>1.8181818181818181E-2</v>
      </c>
      <c r="M136">
        <f>ABS(Table1[[#This Row],[PartyAVotes]]-Table1[[#This Row],[PartyBVotes]])</f>
        <v>20</v>
      </c>
      <c r="N136" s="11">
        <f>Table1[[#This Row],[TotalVotesCast]]/Table1[[#This Row],[RegisteredVoters]]</f>
        <v>0.96363636363636362</v>
      </c>
      <c r="O136" t="str">
        <f>IF(Table1[[#This Row],[RegisteredVoters]]=Table1[[#This Row],[TotalVotesCast]],"Match","")</f>
        <v/>
      </c>
    </row>
    <row r="137" spans="1:15" ht="13.2">
      <c r="A137" s="1" t="s">
        <v>180</v>
      </c>
      <c r="B137" t="s">
        <v>15</v>
      </c>
      <c r="C137" t="s">
        <v>16</v>
      </c>
      <c r="D137" t="s">
        <v>146</v>
      </c>
      <c r="E137">
        <v>840</v>
      </c>
      <c r="F137">
        <v>420</v>
      </c>
      <c r="G137">
        <v>395</v>
      </c>
      <c r="H137">
        <v>15</v>
      </c>
      <c r="I137">
        <v>830</v>
      </c>
      <c r="J137" s="8">
        <f>Table1[[#This Row],[PartyAVotes]]/Table1[[#This Row],[RegisteredVoters]]</f>
        <v>0.5</v>
      </c>
      <c r="K137" s="8">
        <f>Table1[[#This Row],[PartyBVotes]]/Table1[[#This Row],[RegisteredVoters]]</f>
        <v>0.47023809523809523</v>
      </c>
      <c r="L137" s="8">
        <f>Table1[[#This Row],[PartyCVotes]]/Table1[[#This Row],[RegisteredVoters]]</f>
        <v>1.7857142857142856E-2</v>
      </c>
      <c r="M137">
        <f>ABS(Table1[[#This Row],[PartyAVotes]]-Table1[[#This Row],[PartyBVotes]])</f>
        <v>25</v>
      </c>
      <c r="N137" s="11">
        <f>Table1[[#This Row],[TotalVotesCast]]/Table1[[#This Row],[RegisteredVoters]]</f>
        <v>0.98809523809523814</v>
      </c>
      <c r="O137" t="str">
        <f>IF(Table1[[#This Row],[RegisteredVoters]]=Table1[[#This Row],[TotalVotesCast]],"Match","")</f>
        <v/>
      </c>
    </row>
    <row r="138" spans="1:15" ht="13.2">
      <c r="A138" s="1" t="s">
        <v>181</v>
      </c>
      <c r="B138" t="s">
        <v>18</v>
      </c>
      <c r="C138" t="s">
        <v>20</v>
      </c>
      <c r="D138" t="s">
        <v>182</v>
      </c>
      <c r="E138">
        <v>910</v>
      </c>
      <c r="F138">
        <v>450</v>
      </c>
      <c r="G138">
        <v>430</v>
      </c>
      <c r="H138">
        <v>15</v>
      </c>
      <c r="I138">
        <v>895</v>
      </c>
      <c r="J138" s="8">
        <f>Table1[[#This Row],[PartyAVotes]]/Table1[[#This Row],[RegisteredVoters]]</f>
        <v>0.49450549450549453</v>
      </c>
      <c r="K138" s="8">
        <f>Table1[[#This Row],[PartyBVotes]]/Table1[[#This Row],[RegisteredVoters]]</f>
        <v>0.47252747252747251</v>
      </c>
      <c r="L138" s="8">
        <f>Table1[[#This Row],[PartyCVotes]]/Table1[[#This Row],[RegisteredVoters]]</f>
        <v>1.6483516483516484E-2</v>
      </c>
      <c r="M138">
        <f>ABS(Table1[[#This Row],[PartyAVotes]]-Table1[[#This Row],[PartyBVotes]])</f>
        <v>20</v>
      </c>
      <c r="N138" s="11">
        <f>Table1[[#This Row],[TotalVotesCast]]/Table1[[#This Row],[RegisteredVoters]]</f>
        <v>0.98351648351648346</v>
      </c>
      <c r="O138" t="str">
        <f>IF(Table1[[#This Row],[RegisteredVoters]]=Table1[[#This Row],[TotalVotesCast]],"Match","")</f>
        <v/>
      </c>
    </row>
    <row r="139" spans="1:15" ht="13.2">
      <c r="A139" s="1" t="s">
        <v>183</v>
      </c>
      <c r="B139" t="s">
        <v>21</v>
      </c>
      <c r="C139" t="s">
        <v>22</v>
      </c>
      <c r="D139" t="s">
        <v>141</v>
      </c>
      <c r="E139">
        <v>1190</v>
      </c>
      <c r="F139">
        <v>580</v>
      </c>
      <c r="G139">
        <v>550</v>
      </c>
      <c r="H139">
        <v>25</v>
      </c>
      <c r="I139">
        <v>1155</v>
      </c>
      <c r="J139" s="8">
        <f>Table1[[#This Row],[PartyAVotes]]/Table1[[#This Row],[RegisteredVoters]]</f>
        <v>0.48739495798319327</v>
      </c>
      <c r="K139" s="8">
        <f>Table1[[#This Row],[PartyBVotes]]/Table1[[#This Row],[RegisteredVoters]]</f>
        <v>0.46218487394957986</v>
      </c>
      <c r="L139" s="8">
        <f>Table1[[#This Row],[PartyCVotes]]/Table1[[#This Row],[RegisteredVoters]]</f>
        <v>2.100840336134454E-2</v>
      </c>
      <c r="M139">
        <f>ABS(Table1[[#This Row],[PartyAVotes]]-Table1[[#This Row],[PartyBVotes]])</f>
        <v>30</v>
      </c>
      <c r="N139" s="11">
        <f>Table1[[#This Row],[TotalVotesCast]]/Table1[[#This Row],[RegisteredVoters]]</f>
        <v>0.97058823529411764</v>
      </c>
      <c r="O139" t="str">
        <f>IF(Table1[[#This Row],[RegisteredVoters]]=Table1[[#This Row],[TotalVotesCast]],"Match","")</f>
        <v/>
      </c>
    </row>
    <row r="140" spans="1:15" ht="13.2">
      <c r="A140" s="1" t="s">
        <v>184</v>
      </c>
      <c r="B140" t="s">
        <v>10</v>
      </c>
      <c r="C140" t="s">
        <v>14</v>
      </c>
      <c r="D140" t="s">
        <v>141</v>
      </c>
      <c r="E140">
        <v>630</v>
      </c>
      <c r="F140">
        <v>310</v>
      </c>
      <c r="G140">
        <v>290</v>
      </c>
      <c r="H140">
        <v>15</v>
      </c>
      <c r="I140">
        <v>615</v>
      </c>
      <c r="J140" s="8">
        <f>Table1[[#This Row],[PartyAVotes]]/Table1[[#This Row],[RegisteredVoters]]</f>
        <v>0.49206349206349204</v>
      </c>
      <c r="K140" s="8">
        <f>Table1[[#This Row],[PartyBVotes]]/Table1[[#This Row],[RegisteredVoters]]</f>
        <v>0.46031746031746029</v>
      </c>
      <c r="L140" s="8">
        <f>Table1[[#This Row],[PartyCVotes]]/Table1[[#This Row],[RegisteredVoters]]</f>
        <v>2.3809523809523808E-2</v>
      </c>
      <c r="M140">
        <f>ABS(Table1[[#This Row],[PartyAVotes]]-Table1[[#This Row],[PartyBVotes]])</f>
        <v>20</v>
      </c>
      <c r="N140" s="11">
        <f>Table1[[#This Row],[TotalVotesCast]]/Table1[[#This Row],[RegisteredVoters]]</f>
        <v>0.97619047619047616</v>
      </c>
      <c r="O140" t="str">
        <f>IF(Table1[[#This Row],[RegisteredVoters]]=Table1[[#This Row],[TotalVotesCast]],"Match","")</f>
        <v/>
      </c>
    </row>
    <row r="141" spans="1:15" ht="13.2">
      <c r="A141" s="1" t="s">
        <v>185</v>
      </c>
      <c r="B141" t="s">
        <v>15</v>
      </c>
      <c r="C141" t="s">
        <v>17</v>
      </c>
      <c r="D141" t="s">
        <v>123</v>
      </c>
      <c r="E141">
        <v>690</v>
      </c>
      <c r="F141">
        <v>340</v>
      </c>
      <c r="G141">
        <v>320</v>
      </c>
      <c r="H141">
        <v>15</v>
      </c>
      <c r="I141">
        <v>675</v>
      </c>
      <c r="J141" s="8">
        <f>Table1[[#This Row],[PartyAVotes]]/Table1[[#This Row],[RegisteredVoters]]</f>
        <v>0.49275362318840582</v>
      </c>
      <c r="K141" s="8">
        <f>Table1[[#This Row],[PartyBVotes]]/Table1[[#This Row],[RegisteredVoters]]</f>
        <v>0.46376811594202899</v>
      </c>
      <c r="L141" s="8">
        <f>Table1[[#This Row],[PartyCVotes]]/Table1[[#This Row],[RegisteredVoters]]</f>
        <v>2.1739130434782608E-2</v>
      </c>
      <c r="M141">
        <f>ABS(Table1[[#This Row],[PartyAVotes]]-Table1[[#This Row],[PartyBVotes]])</f>
        <v>20</v>
      </c>
      <c r="N141" s="11">
        <f>Table1[[#This Row],[TotalVotesCast]]/Table1[[#This Row],[RegisteredVoters]]</f>
        <v>0.97826086956521741</v>
      </c>
      <c r="O141" t="str">
        <f>IF(Table1[[#This Row],[RegisteredVoters]]=Table1[[#This Row],[TotalVotesCast]],"Match","")</f>
        <v/>
      </c>
    </row>
    <row r="142" spans="1:15" ht="13.2">
      <c r="A142" s="1" t="s">
        <v>186</v>
      </c>
      <c r="B142" t="s">
        <v>18</v>
      </c>
      <c r="C142" t="s">
        <v>19</v>
      </c>
      <c r="D142" t="s">
        <v>146</v>
      </c>
      <c r="E142">
        <v>960</v>
      </c>
      <c r="F142">
        <v>475</v>
      </c>
      <c r="G142">
        <v>450</v>
      </c>
      <c r="H142">
        <v>20</v>
      </c>
      <c r="I142">
        <v>945</v>
      </c>
      <c r="J142" s="8">
        <f>Table1[[#This Row],[PartyAVotes]]/Table1[[#This Row],[RegisteredVoters]]</f>
        <v>0.49479166666666669</v>
      </c>
      <c r="K142" s="8">
        <f>Table1[[#This Row],[PartyBVotes]]/Table1[[#This Row],[RegisteredVoters]]</f>
        <v>0.46875</v>
      </c>
      <c r="L142" s="8">
        <f>Table1[[#This Row],[PartyCVotes]]/Table1[[#This Row],[RegisteredVoters]]</f>
        <v>2.0833333333333332E-2</v>
      </c>
      <c r="M142">
        <f>ABS(Table1[[#This Row],[PartyAVotes]]-Table1[[#This Row],[PartyBVotes]])</f>
        <v>25</v>
      </c>
      <c r="N142" s="11">
        <f>Table1[[#This Row],[TotalVotesCast]]/Table1[[#This Row],[RegisteredVoters]]</f>
        <v>0.984375</v>
      </c>
      <c r="O142" t="str">
        <f>IF(Table1[[#This Row],[RegisteredVoters]]=Table1[[#This Row],[TotalVotesCast]],"Match","")</f>
        <v/>
      </c>
    </row>
    <row r="143" spans="1:15" ht="13.2">
      <c r="A143" s="1" t="s">
        <v>187</v>
      </c>
      <c r="B143" t="s">
        <v>21</v>
      </c>
      <c r="C143" t="s">
        <v>23</v>
      </c>
      <c r="D143" t="s">
        <v>132</v>
      </c>
      <c r="E143">
        <v>1020</v>
      </c>
      <c r="F143">
        <v>505</v>
      </c>
      <c r="G143">
        <v>480</v>
      </c>
      <c r="H143">
        <v>20</v>
      </c>
      <c r="I143">
        <v>1005</v>
      </c>
      <c r="J143" s="8">
        <f>Table1[[#This Row],[PartyAVotes]]/Table1[[#This Row],[RegisteredVoters]]</f>
        <v>0.49509803921568629</v>
      </c>
      <c r="K143" s="8">
        <f>Table1[[#This Row],[PartyBVotes]]/Table1[[#This Row],[RegisteredVoters]]</f>
        <v>0.47058823529411764</v>
      </c>
      <c r="L143" s="8">
        <f>Table1[[#This Row],[PartyCVotes]]/Table1[[#This Row],[RegisteredVoters]]</f>
        <v>1.9607843137254902E-2</v>
      </c>
      <c r="M143">
        <f>ABS(Table1[[#This Row],[PartyAVotes]]-Table1[[#This Row],[PartyBVotes]])</f>
        <v>25</v>
      </c>
      <c r="N143" s="11">
        <f>Table1[[#This Row],[TotalVotesCast]]/Table1[[#This Row],[RegisteredVoters]]</f>
        <v>0.98529411764705888</v>
      </c>
      <c r="O143" t="str">
        <f>IF(Table1[[#This Row],[RegisteredVoters]]=Table1[[#This Row],[TotalVotesCast]],"Match","")</f>
        <v/>
      </c>
    </row>
    <row r="144" spans="1:15" ht="13.2">
      <c r="A144" s="1" t="s">
        <v>188</v>
      </c>
      <c r="B144" t="s">
        <v>10</v>
      </c>
      <c r="C144" t="s">
        <v>11</v>
      </c>
      <c r="D144" t="s">
        <v>155</v>
      </c>
      <c r="E144">
        <v>560</v>
      </c>
      <c r="F144">
        <v>275</v>
      </c>
      <c r="G144">
        <v>255</v>
      </c>
      <c r="H144">
        <v>10</v>
      </c>
      <c r="I144">
        <v>540</v>
      </c>
      <c r="J144" s="8">
        <f>Table1[[#This Row],[PartyAVotes]]/Table1[[#This Row],[RegisteredVoters]]</f>
        <v>0.49107142857142855</v>
      </c>
      <c r="K144" s="8">
        <f>Table1[[#This Row],[PartyBVotes]]/Table1[[#This Row],[RegisteredVoters]]</f>
        <v>0.45535714285714285</v>
      </c>
      <c r="L144" s="8">
        <f>Table1[[#This Row],[PartyCVotes]]/Table1[[#This Row],[RegisteredVoters]]</f>
        <v>1.7857142857142856E-2</v>
      </c>
      <c r="M144">
        <f>ABS(Table1[[#This Row],[PartyAVotes]]-Table1[[#This Row],[PartyBVotes]])</f>
        <v>20</v>
      </c>
      <c r="N144" s="11">
        <f>Table1[[#This Row],[TotalVotesCast]]/Table1[[#This Row],[RegisteredVoters]]</f>
        <v>0.9642857142857143</v>
      </c>
      <c r="O144" t="str">
        <f>IF(Table1[[#This Row],[RegisteredVoters]]=Table1[[#This Row],[TotalVotesCast]],"Match","")</f>
        <v/>
      </c>
    </row>
    <row r="145" spans="1:15" ht="13.2">
      <c r="A145" s="1" t="s">
        <v>189</v>
      </c>
      <c r="B145" t="s">
        <v>15</v>
      </c>
      <c r="C145" t="s">
        <v>16</v>
      </c>
      <c r="D145" t="s">
        <v>155</v>
      </c>
      <c r="E145">
        <v>850</v>
      </c>
      <c r="F145">
        <v>425</v>
      </c>
      <c r="G145">
        <v>400</v>
      </c>
      <c r="H145">
        <v>15</v>
      </c>
      <c r="I145">
        <v>840</v>
      </c>
      <c r="J145" s="8">
        <f>Table1[[#This Row],[PartyAVotes]]/Table1[[#This Row],[RegisteredVoters]]</f>
        <v>0.5</v>
      </c>
      <c r="K145" s="8">
        <f>Table1[[#This Row],[PartyBVotes]]/Table1[[#This Row],[RegisteredVoters]]</f>
        <v>0.47058823529411764</v>
      </c>
      <c r="L145" s="8">
        <f>Table1[[#This Row],[PartyCVotes]]/Table1[[#This Row],[RegisteredVoters]]</f>
        <v>1.7647058823529412E-2</v>
      </c>
      <c r="M145">
        <f>ABS(Table1[[#This Row],[PartyAVotes]]-Table1[[#This Row],[PartyBVotes]])</f>
        <v>25</v>
      </c>
      <c r="N145" s="11">
        <f>Table1[[#This Row],[TotalVotesCast]]/Table1[[#This Row],[RegisteredVoters]]</f>
        <v>0.9882352941176471</v>
      </c>
      <c r="O145" t="str">
        <f>IF(Table1[[#This Row],[RegisteredVoters]]=Table1[[#This Row],[TotalVotesCast]],"Match","")</f>
        <v/>
      </c>
    </row>
    <row r="146" spans="1:15" ht="13.2">
      <c r="A146" s="1" t="s">
        <v>190</v>
      </c>
      <c r="B146" t="s">
        <v>18</v>
      </c>
      <c r="C146" t="s">
        <v>20</v>
      </c>
      <c r="D146" t="s">
        <v>191</v>
      </c>
      <c r="E146">
        <v>920</v>
      </c>
      <c r="F146">
        <v>455</v>
      </c>
      <c r="G146">
        <v>435</v>
      </c>
      <c r="H146">
        <v>15</v>
      </c>
      <c r="I146">
        <v>905</v>
      </c>
      <c r="J146" s="8">
        <f>Table1[[#This Row],[PartyAVotes]]/Table1[[#This Row],[RegisteredVoters]]</f>
        <v>0.49456521739130432</v>
      </c>
      <c r="K146" s="8">
        <f>Table1[[#This Row],[PartyBVotes]]/Table1[[#This Row],[RegisteredVoters]]</f>
        <v>0.47282608695652173</v>
      </c>
      <c r="L146" s="8">
        <f>Table1[[#This Row],[PartyCVotes]]/Table1[[#This Row],[RegisteredVoters]]</f>
        <v>1.6304347826086956E-2</v>
      </c>
      <c r="M146">
        <f>ABS(Table1[[#This Row],[PartyAVotes]]-Table1[[#This Row],[PartyBVotes]])</f>
        <v>20</v>
      </c>
      <c r="N146" s="11">
        <f>Table1[[#This Row],[TotalVotesCast]]/Table1[[#This Row],[RegisteredVoters]]</f>
        <v>0.98369565217391308</v>
      </c>
      <c r="O146" t="str">
        <f>IF(Table1[[#This Row],[RegisteredVoters]]=Table1[[#This Row],[TotalVotesCast]],"Match","")</f>
        <v/>
      </c>
    </row>
    <row r="147" spans="1:15" ht="13.2">
      <c r="A147" s="1" t="s">
        <v>192</v>
      </c>
      <c r="B147" t="s">
        <v>21</v>
      </c>
      <c r="C147" t="s">
        <v>22</v>
      </c>
      <c r="D147" t="s">
        <v>146</v>
      </c>
      <c r="E147">
        <v>1200</v>
      </c>
      <c r="F147">
        <v>585</v>
      </c>
      <c r="G147">
        <v>555</v>
      </c>
      <c r="H147">
        <v>25</v>
      </c>
      <c r="I147">
        <v>1165</v>
      </c>
      <c r="J147" s="8">
        <f>Table1[[#This Row],[PartyAVotes]]/Table1[[#This Row],[RegisteredVoters]]</f>
        <v>0.48749999999999999</v>
      </c>
      <c r="K147" s="8">
        <f>Table1[[#This Row],[PartyBVotes]]/Table1[[#This Row],[RegisteredVoters]]</f>
        <v>0.46250000000000002</v>
      </c>
      <c r="L147" s="8">
        <f>Table1[[#This Row],[PartyCVotes]]/Table1[[#This Row],[RegisteredVoters]]</f>
        <v>2.0833333333333332E-2</v>
      </c>
      <c r="M147">
        <f>ABS(Table1[[#This Row],[PartyAVotes]]-Table1[[#This Row],[PartyBVotes]])</f>
        <v>30</v>
      </c>
      <c r="N147" s="11">
        <f>Table1[[#This Row],[TotalVotesCast]]/Table1[[#This Row],[RegisteredVoters]]</f>
        <v>0.97083333333333333</v>
      </c>
      <c r="O147" t="str">
        <f>IF(Table1[[#This Row],[RegisteredVoters]]=Table1[[#This Row],[TotalVotesCast]],"Match","")</f>
        <v/>
      </c>
    </row>
    <row r="148" spans="1:15" ht="13.2">
      <c r="A148" s="1" t="s">
        <v>193</v>
      </c>
      <c r="B148" t="s">
        <v>10</v>
      </c>
      <c r="C148" t="s">
        <v>14</v>
      </c>
      <c r="D148" t="s">
        <v>146</v>
      </c>
      <c r="E148">
        <v>640</v>
      </c>
      <c r="F148">
        <v>315</v>
      </c>
      <c r="G148">
        <v>295</v>
      </c>
      <c r="H148">
        <v>15</v>
      </c>
      <c r="I148">
        <v>625</v>
      </c>
      <c r="J148" s="8">
        <f>Table1[[#This Row],[PartyAVotes]]/Table1[[#This Row],[RegisteredVoters]]</f>
        <v>0.4921875</v>
      </c>
      <c r="K148" s="8">
        <f>Table1[[#This Row],[PartyBVotes]]/Table1[[#This Row],[RegisteredVoters]]</f>
        <v>0.4609375</v>
      </c>
      <c r="L148" s="8">
        <f>Table1[[#This Row],[PartyCVotes]]/Table1[[#This Row],[RegisteredVoters]]</f>
        <v>2.34375E-2</v>
      </c>
      <c r="M148">
        <f>ABS(Table1[[#This Row],[PartyAVotes]]-Table1[[#This Row],[PartyBVotes]])</f>
        <v>20</v>
      </c>
      <c r="N148" s="11">
        <f>Table1[[#This Row],[TotalVotesCast]]/Table1[[#This Row],[RegisteredVoters]]</f>
        <v>0.9765625</v>
      </c>
      <c r="O148" t="str">
        <f>IF(Table1[[#This Row],[RegisteredVoters]]=Table1[[#This Row],[TotalVotesCast]],"Match","")</f>
        <v/>
      </c>
    </row>
    <row r="149" spans="1:15" ht="13.2">
      <c r="A149" s="1" t="s">
        <v>194</v>
      </c>
      <c r="B149" t="s">
        <v>15</v>
      </c>
      <c r="C149" t="s">
        <v>17</v>
      </c>
      <c r="D149" t="s">
        <v>132</v>
      </c>
      <c r="E149">
        <v>700</v>
      </c>
      <c r="F149">
        <v>345</v>
      </c>
      <c r="G149">
        <v>325</v>
      </c>
      <c r="H149">
        <v>15</v>
      </c>
      <c r="I149">
        <v>685</v>
      </c>
      <c r="J149" s="8">
        <f>Table1[[#This Row],[PartyAVotes]]/Table1[[#This Row],[RegisteredVoters]]</f>
        <v>0.49285714285714288</v>
      </c>
      <c r="K149" s="8">
        <f>Table1[[#This Row],[PartyBVotes]]/Table1[[#This Row],[RegisteredVoters]]</f>
        <v>0.4642857142857143</v>
      </c>
      <c r="L149" s="8">
        <f>Table1[[#This Row],[PartyCVotes]]/Table1[[#This Row],[RegisteredVoters]]</f>
        <v>2.1428571428571429E-2</v>
      </c>
      <c r="M149">
        <f>ABS(Table1[[#This Row],[PartyAVotes]]-Table1[[#This Row],[PartyBVotes]])</f>
        <v>20</v>
      </c>
      <c r="N149" s="11">
        <f>Table1[[#This Row],[TotalVotesCast]]/Table1[[#This Row],[RegisteredVoters]]</f>
        <v>0.97857142857142854</v>
      </c>
      <c r="O149" t="str">
        <f>IF(Table1[[#This Row],[RegisteredVoters]]=Table1[[#This Row],[TotalVotesCast]],"Match","")</f>
        <v/>
      </c>
    </row>
    <row r="150" spans="1:15" ht="13.2">
      <c r="A150" s="1" t="s">
        <v>195</v>
      </c>
      <c r="B150" t="s">
        <v>18</v>
      </c>
      <c r="C150" t="s">
        <v>19</v>
      </c>
      <c r="D150" t="s">
        <v>155</v>
      </c>
      <c r="E150">
        <v>970</v>
      </c>
      <c r="F150">
        <v>480</v>
      </c>
      <c r="G150">
        <v>455</v>
      </c>
      <c r="H150">
        <v>20</v>
      </c>
      <c r="I150">
        <v>955</v>
      </c>
      <c r="J150" s="8">
        <f>Table1[[#This Row],[PartyAVotes]]/Table1[[#This Row],[RegisteredVoters]]</f>
        <v>0.49484536082474229</v>
      </c>
      <c r="K150" s="8">
        <f>Table1[[#This Row],[PartyBVotes]]/Table1[[#This Row],[RegisteredVoters]]</f>
        <v>0.46907216494845361</v>
      </c>
      <c r="L150" s="8">
        <f>Table1[[#This Row],[PartyCVotes]]/Table1[[#This Row],[RegisteredVoters]]</f>
        <v>2.0618556701030927E-2</v>
      </c>
      <c r="M150">
        <f>ABS(Table1[[#This Row],[PartyAVotes]]-Table1[[#This Row],[PartyBVotes]])</f>
        <v>25</v>
      </c>
      <c r="N150" s="11">
        <f>Table1[[#This Row],[TotalVotesCast]]/Table1[[#This Row],[RegisteredVoters]]</f>
        <v>0.98453608247422686</v>
      </c>
      <c r="O150" t="str">
        <f>IF(Table1[[#This Row],[RegisteredVoters]]=Table1[[#This Row],[TotalVotesCast]],"Match","")</f>
        <v/>
      </c>
    </row>
    <row r="151" spans="1:15" ht="13.2">
      <c r="A151" s="1" t="s">
        <v>196</v>
      </c>
      <c r="B151" t="s">
        <v>21</v>
      </c>
      <c r="C151" t="s">
        <v>23</v>
      </c>
      <c r="D151" t="s">
        <v>141</v>
      </c>
      <c r="E151">
        <v>1030</v>
      </c>
      <c r="F151">
        <v>510</v>
      </c>
      <c r="G151">
        <v>485</v>
      </c>
      <c r="H151">
        <v>20</v>
      </c>
      <c r="I151">
        <v>1015</v>
      </c>
      <c r="J151" s="8">
        <f>Table1[[#This Row],[PartyAVotes]]/Table1[[#This Row],[RegisteredVoters]]</f>
        <v>0.49514563106796117</v>
      </c>
      <c r="K151" s="8">
        <f>Table1[[#This Row],[PartyBVotes]]/Table1[[#This Row],[RegisteredVoters]]</f>
        <v>0.470873786407767</v>
      </c>
      <c r="L151" s="8">
        <f>Table1[[#This Row],[PartyCVotes]]/Table1[[#This Row],[RegisteredVoters]]</f>
        <v>1.9417475728155338E-2</v>
      </c>
      <c r="M151">
        <f>ABS(Table1[[#This Row],[PartyAVotes]]-Table1[[#This Row],[PartyBVotes]])</f>
        <v>25</v>
      </c>
      <c r="N151" s="11">
        <f>Table1[[#This Row],[TotalVotesCast]]/Table1[[#This Row],[RegisteredVoters]]</f>
        <v>0.9854368932038835</v>
      </c>
      <c r="O151" t="str">
        <f>IF(Table1[[#This Row],[RegisteredVoters]]=Table1[[#This Row],[TotalVotesCast]],"Match","")</f>
        <v/>
      </c>
    </row>
    <row r="152" spans="1:15" ht="13.2">
      <c r="A152" s="1" t="s">
        <v>197</v>
      </c>
      <c r="B152" t="s">
        <v>10</v>
      </c>
      <c r="C152" t="s">
        <v>11</v>
      </c>
      <c r="D152" t="s">
        <v>164</v>
      </c>
      <c r="E152">
        <v>570</v>
      </c>
      <c r="F152">
        <v>280</v>
      </c>
      <c r="G152">
        <v>260</v>
      </c>
      <c r="H152">
        <v>10</v>
      </c>
      <c r="I152">
        <v>550</v>
      </c>
      <c r="J152" s="8">
        <f>Table1[[#This Row],[PartyAVotes]]/Table1[[#This Row],[RegisteredVoters]]</f>
        <v>0.49122807017543857</v>
      </c>
      <c r="K152" s="8">
        <f>Table1[[#This Row],[PartyBVotes]]/Table1[[#This Row],[RegisteredVoters]]</f>
        <v>0.45614035087719296</v>
      </c>
      <c r="L152" s="8">
        <f>Table1[[#This Row],[PartyCVotes]]/Table1[[#This Row],[RegisteredVoters]]</f>
        <v>1.7543859649122806E-2</v>
      </c>
      <c r="M152">
        <f>ABS(Table1[[#This Row],[PartyAVotes]]-Table1[[#This Row],[PartyBVotes]])</f>
        <v>20</v>
      </c>
      <c r="N152" s="11">
        <f>Table1[[#This Row],[TotalVotesCast]]/Table1[[#This Row],[RegisteredVoters]]</f>
        <v>0.96491228070175439</v>
      </c>
      <c r="O152" t="str">
        <f>IF(Table1[[#This Row],[RegisteredVoters]]=Table1[[#This Row],[TotalVotesCast]],"Match","")</f>
        <v/>
      </c>
    </row>
    <row r="153" spans="1:15" ht="13.2">
      <c r="A153" s="1" t="s">
        <v>198</v>
      </c>
      <c r="B153" t="s">
        <v>15</v>
      </c>
      <c r="C153" t="s">
        <v>16</v>
      </c>
      <c r="D153" t="s">
        <v>164</v>
      </c>
      <c r="E153">
        <v>860</v>
      </c>
      <c r="F153">
        <v>430</v>
      </c>
      <c r="G153">
        <v>405</v>
      </c>
      <c r="H153">
        <v>15</v>
      </c>
      <c r="I153">
        <v>850</v>
      </c>
      <c r="J153" s="8">
        <f>Table1[[#This Row],[PartyAVotes]]/Table1[[#This Row],[RegisteredVoters]]</f>
        <v>0.5</v>
      </c>
      <c r="K153" s="8">
        <f>Table1[[#This Row],[PartyBVotes]]/Table1[[#This Row],[RegisteredVoters]]</f>
        <v>0.47093023255813954</v>
      </c>
      <c r="L153" s="8">
        <f>Table1[[#This Row],[PartyCVotes]]/Table1[[#This Row],[RegisteredVoters]]</f>
        <v>1.7441860465116279E-2</v>
      </c>
      <c r="M153">
        <f>ABS(Table1[[#This Row],[PartyAVotes]]-Table1[[#This Row],[PartyBVotes]])</f>
        <v>25</v>
      </c>
      <c r="N153" s="11">
        <f>Table1[[#This Row],[TotalVotesCast]]/Table1[[#This Row],[RegisteredVoters]]</f>
        <v>0.98837209302325579</v>
      </c>
      <c r="O153" t="str">
        <f>IF(Table1[[#This Row],[RegisteredVoters]]=Table1[[#This Row],[TotalVotesCast]],"Match","")</f>
        <v/>
      </c>
    </row>
    <row r="154" spans="1:15" ht="13.2">
      <c r="A154" s="1" t="s">
        <v>199</v>
      </c>
      <c r="B154" t="s">
        <v>18</v>
      </c>
      <c r="C154" t="s">
        <v>20</v>
      </c>
      <c r="D154" t="s">
        <v>200</v>
      </c>
      <c r="E154">
        <v>930</v>
      </c>
      <c r="F154">
        <v>460</v>
      </c>
      <c r="G154">
        <v>440</v>
      </c>
      <c r="H154">
        <v>15</v>
      </c>
      <c r="I154">
        <v>915</v>
      </c>
      <c r="J154" s="8">
        <f>Table1[[#This Row],[PartyAVotes]]/Table1[[#This Row],[RegisteredVoters]]</f>
        <v>0.4946236559139785</v>
      </c>
      <c r="K154" s="8">
        <f>Table1[[#This Row],[PartyBVotes]]/Table1[[#This Row],[RegisteredVoters]]</f>
        <v>0.4731182795698925</v>
      </c>
      <c r="L154" s="8">
        <f>Table1[[#This Row],[PartyCVotes]]/Table1[[#This Row],[RegisteredVoters]]</f>
        <v>1.6129032258064516E-2</v>
      </c>
      <c r="M154">
        <f>ABS(Table1[[#This Row],[PartyAVotes]]-Table1[[#This Row],[PartyBVotes]])</f>
        <v>20</v>
      </c>
      <c r="N154" s="11">
        <f>Table1[[#This Row],[TotalVotesCast]]/Table1[[#This Row],[RegisteredVoters]]</f>
        <v>0.9838709677419355</v>
      </c>
      <c r="O154" t="str">
        <f>IF(Table1[[#This Row],[RegisteredVoters]]=Table1[[#This Row],[TotalVotesCast]],"Match","")</f>
        <v/>
      </c>
    </row>
    <row r="155" spans="1:15" ht="13.2">
      <c r="A155" s="1" t="s">
        <v>201</v>
      </c>
      <c r="B155" t="s">
        <v>21</v>
      </c>
      <c r="C155" t="s">
        <v>22</v>
      </c>
      <c r="D155" t="s">
        <v>155</v>
      </c>
      <c r="E155">
        <v>1210</v>
      </c>
      <c r="F155">
        <v>590</v>
      </c>
      <c r="G155">
        <v>560</v>
      </c>
      <c r="H155">
        <v>25</v>
      </c>
      <c r="I155">
        <v>1175</v>
      </c>
      <c r="J155" s="8">
        <f>Table1[[#This Row],[PartyAVotes]]/Table1[[#This Row],[RegisteredVoters]]</f>
        <v>0.48760330578512395</v>
      </c>
      <c r="K155" s="8">
        <f>Table1[[#This Row],[PartyBVotes]]/Table1[[#This Row],[RegisteredVoters]]</f>
        <v>0.46280991735537191</v>
      </c>
      <c r="L155" s="8">
        <f>Table1[[#This Row],[PartyCVotes]]/Table1[[#This Row],[RegisteredVoters]]</f>
        <v>2.0661157024793389E-2</v>
      </c>
      <c r="M155">
        <f>ABS(Table1[[#This Row],[PartyAVotes]]-Table1[[#This Row],[PartyBVotes]])</f>
        <v>30</v>
      </c>
      <c r="N155" s="11">
        <f>Table1[[#This Row],[TotalVotesCast]]/Table1[[#This Row],[RegisteredVoters]]</f>
        <v>0.97107438016528924</v>
      </c>
      <c r="O155" t="str">
        <f>IF(Table1[[#This Row],[RegisteredVoters]]=Table1[[#This Row],[TotalVotesCast]],"Match","")</f>
        <v/>
      </c>
    </row>
    <row r="156" spans="1:15" ht="13.2">
      <c r="A156" s="1" t="s">
        <v>202</v>
      </c>
      <c r="B156" t="s">
        <v>10</v>
      </c>
      <c r="C156" t="s">
        <v>14</v>
      </c>
      <c r="D156" t="s">
        <v>155</v>
      </c>
      <c r="E156">
        <v>650</v>
      </c>
      <c r="F156">
        <v>320</v>
      </c>
      <c r="G156">
        <v>300</v>
      </c>
      <c r="H156">
        <v>15</v>
      </c>
      <c r="I156">
        <v>635</v>
      </c>
      <c r="J156" s="8">
        <f>Table1[[#This Row],[PartyAVotes]]/Table1[[#This Row],[RegisteredVoters]]</f>
        <v>0.49230769230769234</v>
      </c>
      <c r="K156" s="8">
        <f>Table1[[#This Row],[PartyBVotes]]/Table1[[#This Row],[RegisteredVoters]]</f>
        <v>0.46153846153846156</v>
      </c>
      <c r="L156" s="8">
        <f>Table1[[#This Row],[PartyCVotes]]/Table1[[#This Row],[RegisteredVoters]]</f>
        <v>2.3076923076923078E-2</v>
      </c>
      <c r="M156">
        <f>ABS(Table1[[#This Row],[PartyAVotes]]-Table1[[#This Row],[PartyBVotes]])</f>
        <v>20</v>
      </c>
      <c r="N156" s="11">
        <f>Table1[[#This Row],[TotalVotesCast]]/Table1[[#This Row],[RegisteredVoters]]</f>
        <v>0.97692307692307689</v>
      </c>
      <c r="O156" t="str">
        <f>IF(Table1[[#This Row],[RegisteredVoters]]=Table1[[#This Row],[TotalVotesCast]],"Match","")</f>
        <v/>
      </c>
    </row>
    <row r="157" spans="1:15" ht="13.2">
      <c r="A157" s="1" t="s">
        <v>203</v>
      </c>
      <c r="B157" t="s">
        <v>15</v>
      </c>
      <c r="C157" t="s">
        <v>17</v>
      </c>
      <c r="D157" t="s">
        <v>141</v>
      </c>
      <c r="E157">
        <v>710</v>
      </c>
      <c r="F157">
        <v>350</v>
      </c>
      <c r="G157">
        <v>330</v>
      </c>
      <c r="H157">
        <v>15</v>
      </c>
      <c r="I157">
        <v>695</v>
      </c>
      <c r="J157" s="8">
        <f>Table1[[#This Row],[PartyAVotes]]/Table1[[#This Row],[RegisteredVoters]]</f>
        <v>0.49295774647887325</v>
      </c>
      <c r="K157" s="8">
        <f>Table1[[#This Row],[PartyBVotes]]/Table1[[#This Row],[RegisteredVoters]]</f>
        <v>0.46478873239436619</v>
      </c>
      <c r="L157" s="8">
        <f>Table1[[#This Row],[PartyCVotes]]/Table1[[#This Row],[RegisteredVoters]]</f>
        <v>2.1126760563380281E-2</v>
      </c>
      <c r="M157">
        <f>ABS(Table1[[#This Row],[PartyAVotes]]-Table1[[#This Row],[PartyBVotes]])</f>
        <v>20</v>
      </c>
      <c r="N157" s="11">
        <f>Table1[[#This Row],[TotalVotesCast]]/Table1[[#This Row],[RegisteredVoters]]</f>
        <v>0.97887323943661975</v>
      </c>
      <c r="O157" t="str">
        <f>IF(Table1[[#This Row],[RegisteredVoters]]=Table1[[#This Row],[TotalVotesCast]],"Match","")</f>
        <v/>
      </c>
    </row>
    <row r="158" spans="1:15" ht="13.2">
      <c r="A158" s="1" t="s">
        <v>204</v>
      </c>
      <c r="B158" t="s">
        <v>18</v>
      </c>
      <c r="C158" t="s">
        <v>19</v>
      </c>
      <c r="D158" t="s">
        <v>164</v>
      </c>
      <c r="E158">
        <v>980</v>
      </c>
      <c r="F158">
        <v>485</v>
      </c>
      <c r="G158">
        <v>460</v>
      </c>
      <c r="H158">
        <v>20</v>
      </c>
      <c r="I158">
        <v>965</v>
      </c>
      <c r="J158" s="8">
        <f>Table1[[#This Row],[PartyAVotes]]/Table1[[#This Row],[RegisteredVoters]]</f>
        <v>0.49489795918367346</v>
      </c>
      <c r="K158" s="8">
        <f>Table1[[#This Row],[PartyBVotes]]/Table1[[#This Row],[RegisteredVoters]]</f>
        <v>0.46938775510204084</v>
      </c>
      <c r="L158" s="8">
        <f>Table1[[#This Row],[PartyCVotes]]/Table1[[#This Row],[RegisteredVoters]]</f>
        <v>2.0408163265306121E-2</v>
      </c>
      <c r="M158">
        <f>ABS(Table1[[#This Row],[PartyAVotes]]-Table1[[#This Row],[PartyBVotes]])</f>
        <v>25</v>
      </c>
      <c r="N158" s="11">
        <f>Table1[[#This Row],[TotalVotesCast]]/Table1[[#This Row],[RegisteredVoters]]</f>
        <v>0.98469387755102045</v>
      </c>
      <c r="O158" t="str">
        <f>IF(Table1[[#This Row],[RegisteredVoters]]=Table1[[#This Row],[TotalVotesCast]],"Match","")</f>
        <v/>
      </c>
    </row>
    <row r="159" spans="1:15" ht="13.2">
      <c r="A159" s="1" t="s">
        <v>205</v>
      </c>
      <c r="B159" t="s">
        <v>21</v>
      </c>
      <c r="C159" t="s">
        <v>23</v>
      </c>
      <c r="D159" t="s">
        <v>146</v>
      </c>
      <c r="E159">
        <v>1040</v>
      </c>
      <c r="F159">
        <v>515</v>
      </c>
      <c r="G159">
        <v>490</v>
      </c>
      <c r="H159">
        <v>20</v>
      </c>
      <c r="I159">
        <v>1025</v>
      </c>
      <c r="J159" s="8">
        <f>Table1[[#This Row],[PartyAVotes]]/Table1[[#This Row],[RegisteredVoters]]</f>
        <v>0.49519230769230771</v>
      </c>
      <c r="K159" s="8">
        <f>Table1[[#This Row],[PartyBVotes]]/Table1[[#This Row],[RegisteredVoters]]</f>
        <v>0.47115384615384615</v>
      </c>
      <c r="L159" s="8">
        <f>Table1[[#This Row],[PartyCVotes]]/Table1[[#This Row],[RegisteredVoters]]</f>
        <v>1.9230769230769232E-2</v>
      </c>
      <c r="M159">
        <f>ABS(Table1[[#This Row],[PartyAVotes]]-Table1[[#This Row],[PartyBVotes]])</f>
        <v>25</v>
      </c>
      <c r="N159" s="11">
        <f>Table1[[#This Row],[TotalVotesCast]]/Table1[[#This Row],[RegisteredVoters]]</f>
        <v>0.98557692307692313</v>
      </c>
      <c r="O159" t="str">
        <f>IF(Table1[[#This Row],[RegisteredVoters]]=Table1[[#This Row],[TotalVotesCast]],"Match","")</f>
        <v/>
      </c>
    </row>
    <row r="160" spans="1:15" ht="13.2">
      <c r="A160" s="1" t="s">
        <v>206</v>
      </c>
      <c r="B160" t="s">
        <v>10</v>
      </c>
      <c r="C160" t="s">
        <v>11</v>
      </c>
      <c r="D160" t="s">
        <v>173</v>
      </c>
      <c r="E160">
        <v>580</v>
      </c>
      <c r="F160">
        <v>285</v>
      </c>
      <c r="G160">
        <v>265</v>
      </c>
      <c r="H160">
        <v>10</v>
      </c>
      <c r="I160">
        <v>560</v>
      </c>
      <c r="J160" s="8">
        <f>Table1[[#This Row],[PartyAVotes]]/Table1[[#This Row],[RegisteredVoters]]</f>
        <v>0.49137931034482757</v>
      </c>
      <c r="K160" s="8">
        <f>Table1[[#This Row],[PartyBVotes]]/Table1[[#This Row],[RegisteredVoters]]</f>
        <v>0.45689655172413796</v>
      </c>
      <c r="L160" s="8">
        <f>Table1[[#This Row],[PartyCVotes]]/Table1[[#This Row],[RegisteredVoters]]</f>
        <v>1.7241379310344827E-2</v>
      </c>
      <c r="M160">
        <f>ABS(Table1[[#This Row],[PartyAVotes]]-Table1[[#This Row],[PartyBVotes]])</f>
        <v>20</v>
      </c>
      <c r="N160" s="11">
        <f>Table1[[#This Row],[TotalVotesCast]]/Table1[[#This Row],[RegisteredVoters]]</f>
        <v>0.96551724137931039</v>
      </c>
      <c r="O160" t="str">
        <f>IF(Table1[[#This Row],[RegisteredVoters]]=Table1[[#This Row],[TotalVotesCast]],"Match","")</f>
        <v/>
      </c>
    </row>
    <row r="161" spans="1:15" ht="13.2">
      <c r="A161" s="1" t="s">
        <v>207</v>
      </c>
      <c r="B161" t="s">
        <v>15</v>
      </c>
      <c r="C161" t="s">
        <v>16</v>
      </c>
      <c r="D161" t="s">
        <v>173</v>
      </c>
      <c r="E161">
        <v>870</v>
      </c>
      <c r="F161">
        <v>435</v>
      </c>
      <c r="G161">
        <v>410</v>
      </c>
      <c r="H161">
        <v>15</v>
      </c>
      <c r="I161">
        <v>860</v>
      </c>
      <c r="J161" s="8">
        <f>Table1[[#This Row],[PartyAVotes]]/Table1[[#This Row],[RegisteredVoters]]</f>
        <v>0.5</v>
      </c>
      <c r="K161" s="8">
        <f>Table1[[#This Row],[PartyBVotes]]/Table1[[#This Row],[RegisteredVoters]]</f>
        <v>0.47126436781609193</v>
      </c>
      <c r="L161" s="8">
        <f>Table1[[#This Row],[PartyCVotes]]/Table1[[#This Row],[RegisteredVoters]]</f>
        <v>1.7241379310344827E-2</v>
      </c>
      <c r="M161">
        <f>ABS(Table1[[#This Row],[PartyAVotes]]-Table1[[#This Row],[PartyBVotes]])</f>
        <v>25</v>
      </c>
      <c r="N161" s="11">
        <f>Table1[[#This Row],[TotalVotesCast]]/Table1[[#This Row],[RegisteredVoters]]</f>
        <v>0.9885057471264368</v>
      </c>
      <c r="O161" t="str">
        <f>IF(Table1[[#This Row],[RegisteredVoters]]=Table1[[#This Row],[TotalVotesCast]],"Match","")</f>
        <v/>
      </c>
    </row>
    <row r="162" spans="1:15" ht="13.2">
      <c r="A162" s="1" t="s">
        <v>208</v>
      </c>
      <c r="B162" t="s">
        <v>18</v>
      </c>
      <c r="C162" t="s">
        <v>20</v>
      </c>
      <c r="D162" t="s">
        <v>209</v>
      </c>
      <c r="E162">
        <v>940</v>
      </c>
      <c r="F162">
        <v>465</v>
      </c>
      <c r="G162">
        <v>445</v>
      </c>
      <c r="H162">
        <v>15</v>
      </c>
      <c r="I162">
        <v>925</v>
      </c>
      <c r="J162" s="8">
        <f>Table1[[#This Row],[PartyAVotes]]/Table1[[#This Row],[RegisteredVoters]]</f>
        <v>0.49468085106382981</v>
      </c>
      <c r="K162" s="8">
        <f>Table1[[#This Row],[PartyBVotes]]/Table1[[#This Row],[RegisteredVoters]]</f>
        <v>0.47340425531914893</v>
      </c>
      <c r="L162" s="8">
        <f>Table1[[#This Row],[PartyCVotes]]/Table1[[#This Row],[RegisteredVoters]]</f>
        <v>1.5957446808510637E-2</v>
      </c>
      <c r="M162">
        <f>ABS(Table1[[#This Row],[PartyAVotes]]-Table1[[#This Row],[PartyBVotes]])</f>
        <v>20</v>
      </c>
      <c r="N162" s="11">
        <f>Table1[[#This Row],[TotalVotesCast]]/Table1[[#This Row],[RegisteredVoters]]</f>
        <v>0.98404255319148937</v>
      </c>
      <c r="O162" t="str">
        <f>IF(Table1[[#This Row],[RegisteredVoters]]=Table1[[#This Row],[TotalVotesCast]],"Match","")</f>
        <v/>
      </c>
    </row>
    <row r="163" spans="1:15" ht="13.2">
      <c r="A163" s="1" t="s">
        <v>210</v>
      </c>
      <c r="B163" t="s">
        <v>21</v>
      </c>
      <c r="C163" t="s">
        <v>22</v>
      </c>
      <c r="D163" t="s">
        <v>164</v>
      </c>
      <c r="E163">
        <v>1220</v>
      </c>
      <c r="F163">
        <v>595</v>
      </c>
      <c r="G163">
        <v>565</v>
      </c>
      <c r="H163">
        <v>25</v>
      </c>
      <c r="I163">
        <v>1185</v>
      </c>
      <c r="J163" s="8">
        <f>Table1[[#This Row],[PartyAVotes]]/Table1[[#This Row],[RegisteredVoters]]</f>
        <v>0.48770491803278687</v>
      </c>
      <c r="K163" s="8">
        <f>Table1[[#This Row],[PartyBVotes]]/Table1[[#This Row],[RegisteredVoters]]</f>
        <v>0.46311475409836067</v>
      </c>
      <c r="L163" s="8">
        <f>Table1[[#This Row],[PartyCVotes]]/Table1[[#This Row],[RegisteredVoters]]</f>
        <v>2.0491803278688523E-2</v>
      </c>
      <c r="M163">
        <f>ABS(Table1[[#This Row],[PartyAVotes]]-Table1[[#This Row],[PartyBVotes]])</f>
        <v>30</v>
      </c>
      <c r="N163" s="11">
        <f>Table1[[#This Row],[TotalVotesCast]]/Table1[[#This Row],[RegisteredVoters]]</f>
        <v>0.97131147540983609</v>
      </c>
      <c r="O163" t="str">
        <f>IF(Table1[[#This Row],[RegisteredVoters]]=Table1[[#This Row],[TotalVotesCast]],"Match","")</f>
        <v/>
      </c>
    </row>
    <row r="164" spans="1:15" ht="13.2">
      <c r="A164" s="1" t="s">
        <v>211</v>
      </c>
      <c r="B164" t="s">
        <v>10</v>
      </c>
      <c r="C164" t="s">
        <v>14</v>
      </c>
      <c r="D164" t="s">
        <v>164</v>
      </c>
      <c r="E164">
        <v>660</v>
      </c>
      <c r="F164">
        <v>325</v>
      </c>
      <c r="G164">
        <v>305</v>
      </c>
      <c r="H164">
        <v>15</v>
      </c>
      <c r="I164">
        <v>645</v>
      </c>
      <c r="J164" s="8">
        <f>Table1[[#This Row],[PartyAVotes]]/Table1[[#This Row],[RegisteredVoters]]</f>
        <v>0.49242424242424243</v>
      </c>
      <c r="K164" s="8">
        <f>Table1[[#This Row],[PartyBVotes]]/Table1[[#This Row],[RegisteredVoters]]</f>
        <v>0.4621212121212121</v>
      </c>
      <c r="L164" s="8">
        <f>Table1[[#This Row],[PartyCVotes]]/Table1[[#This Row],[RegisteredVoters]]</f>
        <v>2.2727272727272728E-2</v>
      </c>
      <c r="M164">
        <f>ABS(Table1[[#This Row],[PartyAVotes]]-Table1[[#This Row],[PartyBVotes]])</f>
        <v>20</v>
      </c>
      <c r="N164" s="11">
        <f>Table1[[#This Row],[TotalVotesCast]]/Table1[[#This Row],[RegisteredVoters]]</f>
        <v>0.97727272727272729</v>
      </c>
      <c r="O164" t="str">
        <f>IF(Table1[[#This Row],[RegisteredVoters]]=Table1[[#This Row],[TotalVotesCast]],"Match","")</f>
        <v/>
      </c>
    </row>
    <row r="165" spans="1:15" ht="13.2">
      <c r="A165" s="1" t="s">
        <v>212</v>
      </c>
      <c r="B165" t="s">
        <v>15</v>
      </c>
      <c r="C165" t="s">
        <v>17</v>
      </c>
      <c r="D165" t="s">
        <v>146</v>
      </c>
      <c r="E165">
        <v>720</v>
      </c>
      <c r="F165">
        <v>355</v>
      </c>
      <c r="G165">
        <v>335</v>
      </c>
      <c r="H165">
        <v>15</v>
      </c>
      <c r="I165">
        <v>705</v>
      </c>
      <c r="J165" s="8">
        <f>Table1[[#This Row],[PartyAVotes]]/Table1[[#This Row],[RegisteredVoters]]</f>
        <v>0.49305555555555558</v>
      </c>
      <c r="K165" s="8">
        <f>Table1[[#This Row],[PartyBVotes]]/Table1[[#This Row],[RegisteredVoters]]</f>
        <v>0.46527777777777779</v>
      </c>
      <c r="L165" s="8">
        <f>Table1[[#This Row],[PartyCVotes]]/Table1[[#This Row],[RegisteredVoters]]</f>
        <v>2.0833333333333332E-2</v>
      </c>
      <c r="M165">
        <f>ABS(Table1[[#This Row],[PartyAVotes]]-Table1[[#This Row],[PartyBVotes]])</f>
        <v>20</v>
      </c>
      <c r="N165" s="11">
        <f>Table1[[#This Row],[TotalVotesCast]]/Table1[[#This Row],[RegisteredVoters]]</f>
        <v>0.97916666666666663</v>
      </c>
      <c r="O165" t="str">
        <f>IF(Table1[[#This Row],[RegisteredVoters]]=Table1[[#This Row],[TotalVotesCast]],"Match","")</f>
        <v/>
      </c>
    </row>
    <row r="166" spans="1:15" ht="13.2">
      <c r="A166" s="1" t="s">
        <v>213</v>
      </c>
      <c r="B166" t="s">
        <v>18</v>
      </c>
      <c r="C166" t="s">
        <v>19</v>
      </c>
      <c r="D166" t="s">
        <v>173</v>
      </c>
      <c r="E166">
        <v>990</v>
      </c>
      <c r="F166">
        <v>490</v>
      </c>
      <c r="G166">
        <v>465</v>
      </c>
      <c r="H166">
        <v>20</v>
      </c>
      <c r="I166">
        <v>975</v>
      </c>
      <c r="J166" s="8">
        <f>Table1[[#This Row],[PartyAVotes]]/Table1[[#This Row],[RegisteredVoters]]</f>
        <v>0.49494949494949497</v>
      </c>
      <c r="K166" s="8">
        <f>Table1[[#This Row],[PartyBVotes]]/Table1[[#This Row],[RegisteredVoters]]</f>
        <v>0.46969696969696972</v>
      </c>
      <c r="L166" s="8">
        <f>Table1[[#This Row],[PartyCVotes]]/Table1[[#This Row],[RegisteredVoters]]</f>
        <v>2.0202020202020204E-2</v>
      </c>
      <c r="M166">
        <f>ABS(Table1[[#This Row],[PartyAVotes]]-Table1[[#This Row],[PartyBVotes]])</f>
        <v>25</v>
      </c>
      <c r="N166" s="11">
        <f>Table1[[#This Row],[TotalVotesCast]]/Table1[[#This Row],[RegisteredVoters]]</f>
        <v>0.98484848484848486</v>
      </c>
      <c r="O166" t="str">
        <f>IF(Table1[[#This Row],[RegisteredVoters]]=Table1[[#This Row],[TotalVotesCast]],"Match","")</f>
        <v/>
      </c>
    </row>
    <row r="167" spans="1:15" ht="13.2">
      <c r="A167" s="1" t="s">
        <v>214</v>
      </c>
      <c r="B167" t="s">
        <v>21</v>
      </c>
      <c r="C167" t="s">
        <v>23</v>
      </c>
      <c r="D167" t="s">
        <v>155</v>
      </c>
      <c r="E167">
        <v>1050</v>
      </c>
      <c r="F167">
        <v>520</v>
      </c>
      <c r="G167">
        <v>495</v>
      </c>
      <c r="H167">
        <v>20</v>
      </c>
      <c r="I167">
        <v>1035</v>
      </c>
      <c r="J167" s="8">
        <f>Table1[[#This Row],[PartyAVotes]]/Table1[[#This Row],[RegisteredVoters]]</f>
        <v>0.49523809523809526</v>
      </c>
      <c r="K167" s="8">
        <f>Table1[[#This Row],[PartyBVotes]]/Table1[[#This Row],[RegisteredVoters]]</f>
        <v>0.47142857142857142</v>
      </c>
      <c r="L167" s="8">
        <f>Table1[[#This Row],[PartyCVotes]]/Table1[[#This Row],[RegisteredVoters]]</f>
        <v>1.9047619047619049E-2</v>
      </c>
      <c r="M167">
        <f>ABS(Table1[[#This Row],[PartyAVotes]]-Table1[[#This Row],[PartyBVotes]])</f>
        <v>25</v>
      </c>
      <c r="N167" s="11">
        <f>Table1[[#This Row],[TotalVotesCast]]/Table1[[#This Row],[RegisteredVoters]]</f>
        <v>0.98571428571428577</v>
      </c>
      <c r="O167" t="str">
        <f>IF(Table1[[#This Row],[RegisteredVoters]]=Table1[[#This Row],[TotalVotesCast]],"Match","")</f>
        <v/>
      </c>
    </row>
    <row r="168" spans="1:15" ht="13.2">
      <c r="A168" s="1" t="s">
        <v>215</v>
      </c>
      <c r="B168" t="s">
        <v>10</v>
      </c>
      <c r="C168" t="s">
        <v>11</v>
      </c>
      <c r="D168" t="s">
        <v>182</v>
      </c>
      <c r="E168">
        <v>590</v>
      </c>
      <c r="F168">
        <v>290</v>
      </c>
      <c r="G168">
        <v>270</v>
      </c>
      <c r="H168">
        <v>10</v>
      </c>
      <c r="I168">
        <v>570</v>
      </c>
      <c r="J168" s="8">
        <f>Table1[[#This Row],[PartyAVotes]]/Table1[[#This Row],[RegisteredVoters]]</f>
        <v>0.49152542372881358</v>
      </c>
      <c r="K168" s="8">
        <f>Table1[[#This Row],[PartyBVotes]]/Table1[[#This Row],[RegisteredVoters]]</f>
        <v>0.4576271186440678</v>
      </c>
      <c r="L168" s="8">
        <f>Table1[[#This Row],[PartyCVotes]]/Table1[[#This Row],[RegisteredVoters]]</f>
        <v>1.6949152542372881E-2</v>
      </c>
      <c r="M168">
        <f>ABS(Table1[[#This Row],[PartyAVotes]]-Table1[[#This Row],[PartyBVotes]])</f>
        <v>20</v>
      </c>
      <c r="N168" s="11">
        <f>Table1[[#This Row],[TotalVotesCast]]/Table1[[#This Row],[RegisteredVoters]]</f>
        <v>0.96610169491525422</v>
      </c>
      <c r="O168" t="str">
        <f>IF(Table1[[#This Row],[RegisteredVoters]]=Table1[[#This Row],[TotalVotesCast]],"Match","")</f>
        <v/>
      </c>
    </row>
    <row r="169" spans="1:15" ht="13.2">
      <c r="A169" s="1" t="s">
        <v>216</v>
      </c>
      <c r="B169" t="s">
        <v>15</v>
      </c>
      <c r="C169" t="s">
        <v>16</v>
      </c>
      <c r="D169" t="s">
        <v>182</v>
      </c>
      <c r="E169">
        <v>880</v>
      </c>
      <c r="F169">
        <v>440</v>
      </c>
      <c r="G169">
        <v>415</v>
      </c>
      <c r="H169">
        <v>15</v>
      </c>
      <c r="I169">
        <v>870</v>
      </c>
      <c r="J169" s="8">
        <f>Table1[[#This Row],[PartyAVotes]]/Table1[[#This Row],[RegisteredVoters]]</f>
        <v>0.5</v>
      </c>
      <c r="K169" s="8">
        <f>Table1[[#This Row],[PartyBVotes]]/Table1[[#This Row],[RegisteredVoters]]</f>
        <v>0.47159090909090912</v>
      </c>
      <c r="L169" s="8">
        <f>Table1[[#This Row],[PartyCVotes]]/Table1[[#This Row],[RegisteredVoters]]</f>
        <v>1.7045454545454544E-2</v>
      </c>
      <c r="M169">
        <f>ABS(Table1[[#This Row],[PartyAVotes]]-Table1[[#This Row],[PartyBVotes]])</f>
        <v>25</v>
      </c>
      <c r="N169" s="11">
        <f>Table1[[#This Row],[TotalVotesCast]]/Table1[[#This Row],[RegisteredVoters]]</f>
        <v>0.98863636363636365</v>
      </c>
      <c r="O169" t="str">
        <f>IF(Table1[[#This Row],[RegisteredVoters]]=Table1[[#This Row],[TotalVotesCast]],"Match","")</f>
        <v/>
      </c>
    </row>
    <row r="170" spans="1:15" ht="13.2">
      <c r="A170" s="1" t="s">
        <v>217</v>
      </c>
      <c r="B170" t="s">
        <v>18</v>
      </c>
      <c r="C170" t="s">
        <v>20</v>
      </c>
      <c r="D170" t="s">
        <v>218</v>
      </c>
      <c r="E170">
        <v>950</v>
      </c>
      <c r="F170">
        <v>470</v>
      </c>
      <c r="G170">
        <v>450</v>
      </c>
      <c r="H170">
        <v>15</v>
      </c>
      <c r="I170">
        <v>935</v>
      </c>
      <c r="J170" s="8">
        <f>Table1[[#This Row],[PartyAVotes]]/Table1[[#This Row],[RegisteredVoters]]</f>
        <v>0.49473684210526314</v>
      </c>
      <c r="K170" s="8">
        <f>Table1[[#This Row],[PartyBVotes]]/Table1[[#This Row],[RegisteredVoters]]</f>
        <v>0.47368421052631576</v>
      </c>
      <c r="L170" s="8">
        <f>Table1[[#This Row],[PartyCVotes]]/Table1[[#This Row],[RegisteredVoters]]</f>
        <v>1.5789473684210527E-2</v>
      </c>
      <c r="M170">
        <f>ABS(Table1[[#This Row],[PartyAVotes]]-Table1[[#This Row],[PartyBVotes]])</f>
        <v>20</v>
      </c>
      <c r="N170" s="11">
        <f>Table1[[#This Row],[TotalVotesCast]]/Table1[[#This Row],[RegisteredVoters]]</f>
        <v>0.98421052631578942</v>
      </c>
      <c r="O170" t="str">
        <f>IF(Table1[[#This Row],[RegisteredVoters]]=Table1[[#This Row],[TotalVotesCast]],"Match","")</f>
        <v/>
      </c>
    </row>
    <row r="171" spans="1:15" ht="13.2">
      <c r="A171" s="1" t="s">
        <v>219</v>
      </c>
      <c r="B171" t="s">
        <v>21</v>
      </c>
      <c r="C171" t="s">
        <v>22</v>
      </c>
      <c r="D171" t="s">
        <v>173</v>
      </c>
      <c r="E171">
        <v>1230</v>
      </c>
      <c r="F171">
        <v>600</v>
      </c>
      <c r="G171">
        <v>570</v>
      </c>
      <c r="H171">
        <v>25</v>
      </c>
      <c r="I171">
        <v>1195</v>
      </c>
      <c r="J171" s="8">
        <f>Table1[[#This Row],[PartyAVotes]]/Table1[[#This Row],[RegisteredVoters]]</f>
        <v>0.48780487804878048</v>
      </c>
      <c r="K171" s="8">
        <f>Table1[[#This Row],[PartyBVotes]]/Table1[[#This Row],[RegisteredVoters]]</f>
        <v>0.46341463414634149</v>
      </c>
      <c r="L171" s="8">
        <f>Table1[[#This Row],[PartyCVotes]]/Table1[[#This Row],[RegisteredVoters]]</f>
        <v>2.032520325203252E-2</v>
      </c>
      <c r="M171">
        <f>ABS(Table1[[#This Row],[PartyAVotes]]-Table1[[#This Row],[PartyBVotes]])</f>
        <v>30</v>
      </c>
      <c r="N171" s="11">
        <f>Table1[[#This Row],[TotalVotesCast]]/Table1[[#This Row],[RegisteredVoters]]</f>
        <v>0.97154471544715448</v>
      </c>
      <c r="O171" t="str">
        <f>IF(Table1[[#This Row],[RegisteredVoters]]=Table1[[#This Row],[TotalVotesCast]],"Match","")</f>
        <v/>
      </c>
    </row>
    <row r="172" spans="1:15" ht="13.2">
      <c r="A172" s="1" t="s">
        <v>220</v>
      </c>
      <c r="B172" t="s">
        <v>10</v>
      </c>
      <c r="C172" t="s">
        <v>14</v>
      </c>
      <c r="D172" t="s">
        <v>173</v>
      </c>
      <c r="E172">
        <v>670</v>
      </c>
      <c r="F172">
        <v>330</v>
      </c>
      <c r="G172">
        <v>310</v>
      </c>
      <c r="H172">
        <v>15</v>
      </c>
      <c r="I172">
        <v>655</v>
      </c>
      <c r="J172" s="8">
        <f>Table1[[#This Row],[PartyAVotes]]/Table1[[#This Row],[RegisteredVoters]]</f>
        <v>0.4925373134328358</v>
      </c>
      <c r="K172" s="8">
        <f>Table1[[#This Row],[PartyBVotes]]/Table1[[#This Row],[RegisteredVoters]]</f>
        <v>0.46268656716417911</v>
      </c>
      <c r="L172" s="8">
        <f>Table1[[#This Row],[PartyCVotes]]/Table1[[#This Row],[RegisteredVoters]]</f>
        <v>2.2388059701492536E-2</v>
      </c>
      <c r="M172">
        <f>ABS(Table1[[#This Row],[PartyAVotes]]-Table1[[#This Row],[PartyBVotes]])</f>
        <v>20</v>
      </c>
      <c r="N172" s="11">
        <f>Table1[[#This Row],[TotalVotesCast]]/Table1[[#This Row],[RegisteredVoters]]</f>
        <v>0.97761194029850751</v>
      </c>
      <c r="O172" t="str">
        <f>IF(Table1[[#This Row],[RegisteredVoters]]=Table1[[#This Row],[TotalVotesCast]],"Match","")</f>
        <v/>
      </c>
    </row>
    <row r="173" spans="1:15" ht="13.2">
      <c r="A173" s="1" t="s">
        <v>221</v>
      </c>
      <c r="B173" t="s">
        <v>15</v>
      </c>
      <c r="C173" t="s">
        <v>17</v>
      </c>
      <c r="D173" t="s">
        <v>155</v>
      </c>
      <c r="E173">
        <v>730</v>
      </c>
      <c r="F173">
        <v>360</v>
      </c>
      <c r="G173">
        <v>340</v>
      </c>
      <c r="H173">
        <v>15</v>
      </c>
      <c r="I173">
        <v>715</v>
      </c>
      <c r="J173" s="8">
        <f>Table1[[#This Row],[PartyAVotes]]/Table1[[#This Row],[RegisteredVoters]]</f>
        <v>0.49315068493150682</v>
      </c>
      <c r="K173" s="8">
        <f>Table1[[#This Row],[PartyBVotes]]/Table1[[#This Row],[RegisteredVoters]]</f>
        <v>0.46575342465753422</v>
      </c>
      <c r="L173" s="8">
        <f>Table1[[#This Row],[PartyCVotes]]/Table1[[#This Row],[RegisteredVoters]]</f>
        <v>2.0547945205479451E-2</v>
      </c>
      <c r="M173">
        <f>ABS(Table1[[#This Row],[PartyAVotes]]-Table1[[#This Row],[PartyBVotes]])</f>
        <v>20</v>
      </c>
      <c r="N173" s="11">
        <f>Table1[[#This Row],[TotalVotesCast]]/Table1[[#This Row],[RegisteredVoters]]</f>
        <v>0.97945205479452058</v>
      </c>
      <c r="O173" t="str">
        <f>IF(Table1[[#This Row],[RegisteredVoters]]=Table1[[#This Row],[TotalVotesCast]],"Match","")</f>
        <v/>
      </c>
    </row>
    <row r="174" spans="1:15" ht="13.2">
      <c r="A174" s="1" t="s">
        <v>222</v>
      </c>
      <c r="B174" t="s">
        <v>18</v>
      </c>
      <c r="C174" t="s">
        <v>19</v>
      </c>
      <c r="D174" t="s">
        <v>182</v>
      </c>
      <c r="E174">
        <v>1000</v>
      </c>
      <c r="F174">
        <v>495</v>
      </c>
      <c r="G174">
        <v>470</v>
      </c>
      <c r="H174">
        <v>20</v>
      </c>
      <c r="I174">
        <v>985</v>
      </c>
      <c r="J174" s="8">
        <f>Table1[[#This Row],[PartyAVotes]]/Table1[[#This Row],[RegisteredVoters]]</f>
        <v>0.495</v>
      </c>
      <c r="K174" s="8">
        <f>Table1[[#This Row],[PartyBVotes]]/Table1[[#This Row],[RegisteredVoters]]</f>
        <v>0.47</v>
      </c>
      <c r="L174" s="8">
        <f>Table1[[#This Row],[PartyCVotes]]/Table1[[#This Row],[RegisteredVoters]]</f>
        <v>0.02</v>
      </c>
      <c r="M174">
        <f>ABS(Table1[[#This Row],[PartyAVotes]]-Table1[[#This Row],[PartyBVotes]])</f>
        <v>25</v>
      </c>
      <c r="N174" s="11">
        <f>Table1[[#This Row],[TotalVotesCast]]/Table1[[#This Row],[RegisteredVoters]]</f>
        <v>0.98499999999999999</v>
      </c>
      <c r="O174" t="str">
        <f>IF(Table1[[#This Row],[RegisteredVoters]]=Table1[[#This Row],[TotalVotesCast]],"Match","")</f>
        <v/>
      </c>
    </row>
    <row r="175" spans="1:15" ht="13.2">
      <c r="A175" s="1" t="s">
        <v>223</v>
      </c>
      <c r="B175" t="s">
        <v>21</v>
      </c>
      <c r="C175" t="s">
        <v>23</v>
      </c>
      <c r="D175" t="s">
        <v>164</v>
      </c>
      <c r="E175">
        <v>1060</v>
      </c>
      <c r="F175">
        <v>525</v>
      </c>
      <c r="G175">
        <v>500</v>
      </c>
      <c r="H175">
        <v>20</v>
      </c>
      <c r="I175">
        <v>1045</v>
      </c>
      <c r="J175" s="8">
        <f>Table1[[#This Row],[PartyAVotes]]/Table1[[#This Row],[RegisteredVoters]]</f>
        <v>0.49528301886792453</v>
      </c>
      <c r="K175" s="8">
        <f>Table1[[#This Row],[PartyBVotes]]/Table1[[#This Row],[RegisteredVoters]]</f>
        <v>0.47169811320754718</v>
      </c>
      <c r="L175" s="8">
        <f>Table1[[#This Row],[PartyCVotes]]/Table1[[#This Row],[RegisteredVoters]]</f>
        <v>1.8867924528301886E-2</v>
      </c>
      <c r="M175">
        <f>ABS(Table1[[#This Row],[PartyAVotes]]-Table1[[#This Row],[PartyBVotes]])</f>
        <v>25</v>
      </c>
      <c r="N175" s="11">
        <f>Table1[[#This Row],[TotalVotesCast]]/Table1[[#This Row],[RegisteredVoters]]</f>
        <v>0.98584905660377353</v>
      </c>
      <c r="O175" t="str">
        <f>IF(Table1[[#This Row],[RegisteredVoters]]=Table1[[#This Row],[TotalVotesCast]],"Match","")</f>
        <v/>
      </c>
    </row>
    <row r="176" spans="1:15" ht="13.2">
      <c r="A176" s="1" t="s">
        <v>224</v>
      </c>
      <c r="B176" t="s">
        <v>10</v>
      </c>
      <c r="C176" t="s">
        <v>11</v>
      </c>
      <c r="D176" t="s">
        <v>191</v>
      </c>
      <c r="E176">
        <v>600</v>
      </c>
      <c r="F176">
        <v>295</v>
      </c>
      <c r="G176">
        <v>275</v>
      </c>
      <c r="H176">
        <v>10</v>
      </c>
      <c r="I176">
        <v>580</v>
      </c>
      <c r="J176" s="8">
        <f>Table1[[#This Row],[PartyAVotes]]/Table1[[#This Row],[RegisteredVoters]]</f>
        <v>0.49166666666666664</v>
      </c>
      <c r="K176" s="8">
        <f>Table1[[#This Row],[PartyBVotes]]/Table1[[#This Row],[RegisteredVoters]]</f>
        <v>0.45833333333333331</v>
      </c>
      <c r="L176" s="8">
        <f>Table1[[#This Row],[PartyCVotes]]/Table1[[#This Row],[RegisteredVoters]]</f>
        <v>1.6666666666666666E-2</v>
      </c>
      <c r="M176">
        <f>ABS(Table1[[#This Row],[PartyAVotes]]-Table1[[#This Row],[PartyBVotes]])</f>
        <v>20</v>
      </c>
      <c r="N176" s="11">
        <f>Table1[[#This Row],[TotalVotesCast]]/Table1[[#This Row],[RegisteredVoters]]</f>
        <v>0.96666666666666667</v>
      </c>
      <c r="O176" t="str">
        <f>IF(Table1[[#This Row],[RegisteredVoters]]=Table1[[#This Row],[TotalVotesCast]],"Match","")</f>
        <v/>
      </c>
    </row>
    <row r="177" spans="1:15" ht="13.2">
      <c r="A177" s="1" t="s">
        <v>225</v>
      </c>
      <c r="B177" t="s">
        <v>15</v>
      </c>
      <c r="C177" t="s">
        <v>16</v>
      </c>
      <c r="D177" t="s">
        <v>191</v>
      </c>
      <c r="E177">
        <v>890</v>
      </c>
      <c r="F177">
        <v>445</v>
      </c>
      <c r="G177">
        <v>420</v>
      </c>
      <c r="H177">
        <v>15</v>
      </c>
      <c r="I177">
        <v>880</v>
      </c>
      <c r="J177" s="8">
        <f>Table1[[#This Row],[PartyAVotes]]/Table1[[#This Row],[RegisteredVoters]]</f>
        <v>0.5</v>
      </c>
      <c r="K177" s="8">
        <f>Table1[[#This Row],[PartyBVotes]]/Table1[[#This Row],[RegisteredVoters]]</f>
        <v>0.47191011235955055</v>
      </c>
      <c r="L177" s="8">
        <f>Table1[[#This Row],[PartyCVotes]]/Table1[[#This Row],[RegisteredVoters]]</f>
        <v>1.6853932584269662E-2</v>
      </c>
      <c r="M177">
        <f>ABS(Table1[[#This Row],[PartyAVotes]]-Table1[[#This Row],[PartyBVotes]])</f>
        <v>25</v>
      </c>
      <c r="N177" s="11">
        <f>Table1[[#This Row],[TotalVotesCast]]/Table1[[#This Row],[RegisteredVoters]]</f>
        <v>0.9887640449438202</v>
      </c>
      <c r="O177" t="str">
        <f>IF(Table1[[#This Row],[RegisteredVoters]]=Table1[[#This Row],[TotalVotesCast]],"Match","")</f>
        <v/>
      </c>
    </row>
    <row r="178" spans="1:15" ht="13.2">
      <c r="A178" s="1" t="s">
        <v>226</v>
      </c>
      <c r="B178" t="s">
        <v>18</v>
      </c>
      <c r="C178" t="s">
        <v>20</v>
      </c>
      <c r="D178" t="s">
        <v>227</v>
      </c>
      <c r="E178">
        <v>960</v>
      </c>
      <c r="F178">
        <v>475</v>
      </c>
      <c r="G178">
        <v>455</v>
      </c>
      <c r="H178">
        <v>15</v>
      </c>
      <c r="I178">
        <v>945</v>
      </c>
      <c r="J178" s="8">
        <f>Table1[[#This Row],[PartyAVotes]]/Table1[[#This Row],[RegisteredVoters]]</f>
        <v>0.49479166666666669</v>
      </c>
      <c r="K178" s="8">
        <f>Table1[[#This Row],[PartyBVotes]]/Table1[[#This Row],[RegisteredVoters]]</f>
        <v>0.47395833333333331</v>
      </c>
      <c r="L178" s="8">
        <f>Table1[[#This Row],[PartyCVotes]]/Table1[[#This Row],[RegisteredVoters]]</f>
        <v>1.5625E-2</v>
      </c>
      <c r="M178">
        <f>ABS(Table1[[#This Row],[PartyAVotes]]-Table1[[#This Row],[PartyBVotes]])</f>
        <v>20</v>
      </c>
      <c r="N178" s="11">
        <f>Table1[[#This Row],[TotalVotesCast]]/Table1[[#This Row],[RegisteredVoters]]</f>
        <v>0.984375</v>
      </c>
      <c r="O178" t="str">
        <f>IF(Table1[[#This Row],[RegisteredVoters]]=Table1[[#This Row],[TotalVotesCast]],"Match","")</f>
        <v/>
      </c>
    </row>
    <row r="179" spans="1:15" ht="13.2">
      <c r="A179" s="1" t="s">
        <v>228</v>
      </c>
      <c r="B179" t="s">
        <v>21</v>
      </c>
      <c r="C179" t="s">
        <v>22</v>
      </c>
      <c r="D179" t="s">
        <v>182</v>
      </c>
      <c r="E179">
        <v>1240</v>
      </c>
      <c r="F179">
        <v>605</v>
      </c>
      <c r="G179">
        <v>575</v>
      </c>
      <c r="H179">
        <v>25</v>
      </c>
      <c r="I179">
        <v>1205</v>
      </c>
      <c r="J179" s="8">
        <f>Table1[[#This Row],[PartyAVotes]]/Table1[[#This Row],[RegisteredVoters]]</f>
        <v>0.48790322580645162</v>
      </c>
      <c r="K179" s="8">
        <f>Table1[[#This Row],[PartyBVotes]]/Table1[[#This Row],[RegisteredVoters]]</f>
        <v>0.46370967741935482</v>
      </c>
      <c r="L179" s="8">
        <f>Table1[[#This Row],[PartyCVotes]]/Table1[[#This Row],[RegisteredVoters]]</f>
        <v>2.0161290322580645E-2</v>
      </c>
      <c r="M179">
        <f>ABS(Table1[[#This Row],[PartyAVotes]]-Table1[[#This Row],[PartyBVotes]])</f>
        <v>30</v>
      </c>
      <c r="N179" s="11">
        <f>Table1[[#This Row],[TotalVotesCast]]/Table1[[#This Row],[RegisteredVoters]]</f>
        <v>0.97177419354838712</v>
      </c>
      <c r="O179" t="str">
        <f>IF(Table1[[#This Row],[RegisteredVoters]]=Table1[[#This Row],[TotalVotesCast]],"Match","")</f>
        <v/>
      </c>
    </row>
    <row r="180" spans="1:15" ht="13.2">
      <c r="A180" s="1" t="s">
        <v>229</v>
      </c>
      <c r="B180" t="s">
        <v>10</v>
      </c>
      <c r="C180" t="s">
        <v>14</v>
      </c>
      <c r="D180" t="s">
        <v>182</v>
      </c>
      <c r="E180">
        <v>680</v>
      </c>
      <c r="F180">
        <v>335</v>
      </c>
      <c r="G180">
        <v>315</v>
      </c>
      <c r="H180">
        <v>15</v>
      </c>
      <c r="I180">
        <v>665</v>
      </c>
      <c r="J180" s="8">
        <f>Table1[[#This Row],[PartyAVotes]]/Table1[[#This Row],[RegisteredVoters]]</f>
        <v>0.49264705882352944</v>
      </c>
      <c r="K180" s="8">
        <f>Table1[[#This Row],[PartyBVotes]]/Table1[[#This Row],[RegisteredVoters]]</f>
        <v>0.46323529411764708</v>
      </c>
      <c r="L180" s="8">
        <f>Table1[[#This Row],[PartyCVotes]]/Table1[[#This Row],[RegisteredVoters]]</f>
        <v>2.2058823529411766E-2</v>
      </c>
      <c r="M180">
        <f>ABS(Table1[[#This Row],[PartyAVotes]]-Table1[[#This Row],[PartyBVotes]])</f>
        <v>20</v>
      </c>
      <c r="N180" s="11">
        <f>Table1[[#This Row],[TotalVotesCast]]/Table1[[#This Row],[RegisteredVoters]]</f>
        <v>0.9779411764705882</v>
      </c>
      <c r="O180" t="str">
        <f>IF(Table1[[#This Row],[RegisteredVoters]]=Table1[[#This Row],[TotalVotesCast]],"Match","")</f>
        <v/>
      </c>
    </row>
    <row r="181" spans="1:15" ht="13.2">
      <c r="A181" s="1" t="s">
        <v>230</v>
      </c>
      <c r="B181" t="s">
        <v>15</v>
      </c>
      <c r="C181" t="s">
        <v>17</v>
      </c>
      <c r="D181" t="s">
        <v>164</v>
      </c>
      <c r="E181">
        <v>740</v>
      </c>
      <c r="F181">
        <v>365</v>
      </c>
      <c r="G181">
        <v>345</v>
      </c>
      <c r="H181">
        <v>15</v>
      </c>
      <c r="I181">
        <v>725</v>
      </c>
      <c r="J181" s="8">
        <f>Table1[[#This Row],[PartyAVotes]]/Table1[[#This Row],[RegisteredVoters]]</f>
        <v>0.49324324324324326</v>
      </c>
      <c r="K181" s="8">
        <f>Table1[[#This Row],[PartyBVotes]]/Table1[[#This Row],[RegisteredVoters]]</f>
        <v>0.46621621621621623</v>
      </c>
      <c r="L181" s="8">
        <f>Table1[[#This Row],[PartyCVotes]]/Table1[[#This Row],[RegisteredVoters]]</f>
        <v>2.0270270270270271E-2</v>
      </c>
      <c r="M181">
        <f>ABS(Table1[[#This Row],[PartyAVotes]]-Table1[[#This Row],[PartyBVotes]])</f>
        <v>20</v>
      </c>
      <c r="N181" s="11">
        <f>Table1[[#This Row],[TotalVotesCast]]/Table1[[#This Row],[RegisteredVoters]]</f>
        <v>0.97972972972972971</v>
      </c>
      <c r="O181" t="str">
        <f>IF(Table1[[#This Row],[RegisteredVoters]]=Table1[[#This Row],[TotalVotesCast]],"Match","")</f>
        <v/>
      </c>
    </row>
    <row r="182" spans="1:15" ht="13.2">
      <c r="A182" s="1" t="s">
        <v>231</v>
      </c>
      <c r="B182" t="s">
        <v>18</v>
      </c>
      <c r="C182" t="s">
        <v>19</v>
      </c>
      <c r="D182" t="s">
        <v>191</v>
      </c>
      <c r="E182">
        <v>1010</v>
      </c>
      <c r="F182">
        <v>500</v>
      </c>
      <c r="G182">
        <v>475</v>
      </c>
      <c r="H182">
        <v>20</v>
      </c>
      <c r="I182">
        <v>995</v>
      </c>
      <c r="J182" s="8">
        <f>Table1[[#This Row],[PartyAVotes]]/Table1[[#This Row],[RegisteredVoters]]</f>
        <v>0.49504950495049505</v>
      </c>
      <c r="K182" s="8">
        <f>Table1[[#This Row],[PartyBVotes]]/Table1[[#This Row],[RegisteredVoters]]</f>
        <v>0.47029702970297027</v>
      </c>
      <c r="L182" s="8">
        <f>Table1[[#This Row],[PartyCVotes]]/Table1[[#This Row],[RegisteredVoters]]</f>
        <v>1.9801980198019802E-2</v>
      </c>
      <c r="M182">
        <f>ABS(Table1[[#This Row],[PartyAVotes]]-Table1[[#This Row],[PartyBVotes]])</f>
        <v>25</v>
      </c>
      <c r="N182" s="11">
        <f>Table1[[#This Row],[TotalVotesCast]]/Table1[[#This Row],[RegisteredVoters]]</f>
        <v>0.98514851485148514</v>
      </c>
      <c r="O182" t="str">
        <f>IF(Table1[[#This Row],[RegisteredVoters]]=Table1[[#This Row],[TotalVotesCast]],"Match","")</f>
        <v/>
      </c>
    </row>
    <row r="183" spans="1:15" ht="13.2">
      <c r="A183" s="1" t="s">
        <v>232</v>
      </c>
      <c r="B183" t="s">
        <v>21</v>
      </c>
      <c r="C183" t="s">
        <v>23</v>
      </c>
      <c r="D183" t="s">
        <v>173</v>
      </c>
      <c r="E183">
        <v>1070</v>
      </c>
      <c r="F183">
        <v>530</v>
      </c>
      <c r="G183">
        <v>505</v>
      </c>
      <c r="H183">
        <v>20</v>
      </c>
      <c r="I183">
        <v>1055</v>
      </c>
      <c r="J183" s="8">
        <f>Table1[[#This Row],[PartyAVotes]]/Table1[[#This Row],[RegisteredVoters]]</f>
        <v>0.49532710280373832</v>
      </c>
      <c r="K183" s="8">
        <f>Table1[[#This Row],[PartyBVotes]]/Table1[[#This Row],[RegisteredVoters]]</f>
        <v>0.4719626168224299</v>
      </c>
      <c r="L183" s="8">
        <f>Table1[[#This Row],[PartyCVotes]]/Table1[[#This Row],[RegisteredVoters]]</f>
        <v>1.8691588785046728E-2</v>
      </c>
      <c r="M183">
        <f>ABS(Table1[[#This Row],[PartyAVotes]]-Table1[[#This Row],[PartyBVotes]])</f>
        <v>25</v>
      </c>
      <c r="N183" s="11">
        <f>Table1[[#This Row],[TotalVotesCast]]/Table1[[#This Row],[RegisteredVoters]]</f>
        <v>0.98598130841121501</v>
      </c>
      <c r="O183" t="str">
        <f>IF(Table1[[#This Row],[RegisteredVoters]]=Table1[[#This Row],[TotalVotesCast]],"Match","")</f>
        <v/>
      </c>
    </row>
    <row r="184" spans="1:15" ht="13.2">
      <c r="A184" s="1" t="s">
        <v>233</v>
      </c>
      <c r="B184" t="s">
        <v>10</v>
      </c>
      <c r="C184" t="s">
        <v>11</v>
      </c>
      <c r="D184" t="s">
        <v>200</v>
      </c>
      <c r="E184">
        <v>610</v>
      </c>
      <c r="F184">
        <v>300</v>
      </c>
      <c r="G184">
        <v>280</v>
      </c>
      <c r="H184">
        <v>10</v>
      </c>
      <c r="I184">
        <v>590</v>
      </c>
      <c r="J184" s="8">
        <f>Table1[[#This Row],[PartyAVotes]]/Table1[[#This Row],[RegisteredVoters]]</f>
        <v>0.49180327868852458</v>
      </c>
      <c r="K184" s="8">
        <f>Table1[[#This Row],[PartyBVotes]]/Table1[[#This Row],[RegisteredVoters]]</f>
        <v>0.45901639344262296</v>
      </c>
      <c r="L184" s="8">
        <f>Table1[[#This Row],[PartyCVotes]]/Table1[[#This Row],[RegisteredVoters]]</f>
        <v>1.6393442622950821E-2</v>
      </c>
      <c r="M184">
        <f>ABS(Table1[[#This Row],[PartyAVotes]]-Table1[[#This Row],[PartyBVotes]])</f>
        <v>20</v>
      </c>
      <c r="N184" s="11">
        <f>Table1[[#This Row],[TotalVotesCast]]/Table1[[#This Row],[RegisteredVoters]]</f>
        <v>0.96721311475409832</v>
      </c>
      <c r="O184" t="str">
        <f>IF(Table1[[#This Row],[RegisteredVoters]]=Table1[[#This Row],[TotalVotesCast]],"Match","")</f>
        <v/>
      </c>
    </row>
    <row r="185" spans="1:15" ht="13.2">
      <c r="A185" s="1" t="s">
        <v>234</v>
      </c>
      <c r="B185" t="s">
        <v>15</v>
      </c>
      <c r="C185" t="s">
        <v>16</v>
      </c>
      <c r="D185" t="s">
        <v>200</v>
      </c>
      <c r="E185">
        <v>900</v>
      </c>
      <c r="F185">
        <v>450</v>
      </c>
      <c r="G185">
        <v>425</v>
      </c>
      <c r="H185">
        <v>15</v>
      </c>
      <c r="I185">
        <v>890</v>
      </c>
      <c r="J185" s="8">
        <f>Table1[[#This Row],[PartyAVotes]]/Table1[[#This Row],[RegisteredVoters]]</f>
        <v>0.5</v>
      </c>
      <c r="K185" s="8">
        <f>Table1[[#This Row],[PartyBVotes]]/Table1[[#This Row],[RegisteredVoters]]</f>
        <v>0.47222222222222221</v>
      </c>
      <c r="L185" s="8">
        <f>Table1[[#This Row],[PartyCVotes]]/Table1[[#This Row],[RegisteredVoters]]</f>
        <v>1.6666666666666666E-2</v>
      </c>
      <c r="M185">
        <f>ABS(Table1[[#This Row],[PartyAVotes]]-Table1[[#This Row],[PartyBVotes]])</f>
        <v>25</v>
      </c>
      <c r="N185" s="11">
        <f>Table1[[#This Row],[TotalVotesCast]]/Table1[[#This Row],[RegisteredVoters]]</f>
        <v>0.98888888888888893</v>
      </c>
      <c r="O185" t="str">
        <f>IF(Table1[[#This Row],[RegisteredVoters]]=Table1[[#This Row],[TotalVotesCast]],"Match","")</f>
        <v/>
      </c>
    </row>
    <row r="186" spans="1:15" ht="13.2">
      <c r="A186" s="1" t="s">
        <v>235</v>
      </c>
      <c r="B186" t="s">
        <v>18</v>
      </c>
      <c r="C186" t="s">
        <v>20</v>
      </c>
      <c r="D186" t="s">
        <v>236</v>
      </c>
      <c r="E186">
        <v>970</v>
      </c>
      <c r="F186">
        <v>480</v>
      </c>
      <c r="G186">
        <v>460</v>
      </c>
      <c r="H186">
        <v>15</v>
      </c>
      <c r="I186">
        <v>955</v>
      </c>
      <c r="J186" s="8">
        <f>Table1[[#This Row],[PartyAVotes]]/Table1[[#This Row],[RegisteredVoters]]</f>
        <v>0.49484536082474229</v>
      </c>
      <c r="K186" s="8">
        <f>Table1[[#This Row],[PartyBVotes]]/Table1[[#This Row],[RegisteredVoters]]</f>
        <v>0.47422680412371132</v>
      </c>
      <c r="L186" s="8">
        <f>Table1[[#This Row],[PartyCVotes]]/Table1[[#This Row],[RegisteredVoters]]</f>
        <v>1.5463917525773196E-2</v>
      </c>
      <c r="M186">
        <f>ABS(Table1[[#This Row],[PartyAVotes]]-Table1[[#This Row],[PartyBVotes]])</f>
        <v>20</v>
      </c>
      <c r="N186" s="11">
        <f>Table1[[#This Row],[TotalVotesCast]]/Table1[[#This Row],[RegisteredVoters]]</f>
        <v>0.98453608247422686</v>
      </c>
      <c r="O186" t="str">
        <f>IF(Table1[[#This Row],[RegisteredVoters]]=Table1[[#This Row],[TotalVotesCast]],"Match","")</f>
        <v/>
      </c>
    </row>
    <row r="187" spans="1:15" ht="13.2">
      <c r="A187" s="1" t="s">
        <v>237</v>
      </c>
      <c r="B187" t="s">
        <v>21</v>
      </c>
      <c r="C187" t="s">
        <v>22</v>
      </c>
      <c r="D187" t="s">
        <v>191</v>
      </c>
      <c r="E187">
        <v>1250</v>
      </c>
      <c r="F187">
        <v>610</v>
      </c>
      <c r="G187">
        <v>580</v>
      </c>
      <c r="H187">
        <v>25</v>
      </c>
      <c r="I187">
        <v>1215</v>
      </c>
      <c r="J187" s="8">
        <f>Table1[[#This Row],[PartyAVotes]]/Table1[[#This Row],[RegisteredVoters]]</f>
        <v>0.48799999999999999</v>
      </c>
      <c r="K187" s="8">
        <f>Table1[[#This Row],[PartyBVotes]]/Table1[[#This Row],[RegisteredVoters]]</f>
        <v>0.46400000000000002</v>
      </c>
      <c r="L187" s="8">
        <f>Table1[[#This Row],[PartyCVotes]]/Table1[[#This Row],[RegisteredVoters]]</f>
        <v>0.02</v>
      </c>
      <c r="M187">
        <f>ABS(Table1[[#This Row],[PartyAVotes]]-Table1[[#This Row],[PartyBVotes]])</f>
        <v>30</v>
      </c>
      <c r="N187" s="11">
        <f>Table1[[#This Row],[TotalVotesCast]]/Table1[[#This Row],[RegisteredVoters]]</f>
        <v>0.97199999999999998</v>
      </c>
      <c r="O187" t="str">
        <f>IF(Table1[[#This Row],[RegisteredVoters]]=Table1[[#This Row],[TotalVotesCast]],"Match","")</f>
        <v/>
      </c>
    </row>
    <row r="188" spans="1:15" ht="13.2">
      <c r="A188" s="1" t="s">
        <v>238</v>
      </c>
      <c r="B188" t="s">
        <v>10</v>
      </c>
      <c r="C188" t="s">
        <v>14</v>
      </c>
      <c r="D188" t="s">
        <v>191</v>
      </c>
      <c r="E188">
        <v>690</v>
      </c>
      <c r="F188">
        <v>340</v>
      </c>
      <c r="G188">
        <v>320</v>
      </c>
      <c r="H188">
        <v>15</v>
      </c>
      <c r="I188">
        <v>675</v>
      </c>
      <c r="J188" s="8">
        <f>Table1[[#This Row],[PartyAVotes]]/Table1[[#This Row],[RegisteredVoters]]</f>
        <v>0.49275362318840582</v>
      </c>
      <c r="K188" s="8">
        <f>Table1[[#This Row],[PartyBVotes]]/Table1[[#This Row],[RegisteredVoters]]</f>
        <v>0.46376811594202899</v>
      </c>
      <c r="L188" s="8">
        <f>Table1[[#This Row],[PartyCVotes]]/Table1[[#This Row],[RegisteredVoters]]</f>
        <v>2.1739130434782608E-2</v>
      </c>
      <c r="M188">
        <f>ABS(Table1[[#This Row],[PartyAVotes]]-Table1[[#This Row],[PartyBVotes]])</f>
        <v>20</v>
      </c>
      <c r="N188" s="11">
        <f>Table1[[#This Row],[TotalVotesCast]]/Table1[[#This Row],[RegisteredVoters]]</f>
        <v>0.97826086956521741</v>
      </c>
      <c r="O188" t="str">
        <f>IF(Table1[[#This Row],[RegisteredVoters]]=Table1[[#This Row],[TotalVotesCast]],"Match","")</f>
        <v/>
      </c>
    </row>
    <row r="189" spans="1:15" ht="13.2">
      <c r="A189" s="1" t="s">
        <v>239</v>
      </c>
      <c r="B189" t="s">
        <v>15</v>
      </c>
      <c r="C189" t="s">
        <v>17</v>
      </c>
      <c r="D189" t="s">
        <v>173</v>
      </c>
      <c r="E189">
        <v>750</v>
      </c>
      <c r="F189">
        <v>370</v>
      </c>
      <c r="G189">
        <v>350</v>
      </c>
      <c r="H189">
        <v>15</v>
      </c>
      <c r="I189">
        <v>735</v>
      </c>
      <c r="J189" s="8">
        <f>Table1[[#This Row],[PartyAVotes]]/Table1[[#This Row],[RegisteredVoters]]</f>
        <v>0.49333333333333335</v>
      </c>
      <c r="K189" s="8">
        <f>Table1[[#This Row],[PartyBVotes]]/Table1[[#This Row],[RegisteredVoters]]</f>
        <v>0.46666666666666667</v>
      </c>
      <c r="L189" s="8">
        <f>Table1[[#This Row],[PartyCVotes]]/Table1[[#This Row],[RegisteredVoters]]</f>
        <v>0.02</v>
      </c>
      <c r="M189">
        <f>ABS(Table1[[#This Row],[PartyAVotes]]-Table1[[#This Row],[PartyBVotes]])</f>
        <v>20</v>
      </c>
      <c r="N189" s="11">
        <f>Table1[[#This Row],[TotalVotesCast]]/Table1[[#This Row],[RegisteredVoters]]</f>
        <v>0.98</v>
      </c>
      <c r="O189" t="str">
        <f>IF(Table1[[#This Row],[RegisteredVoters]]=Table1[[#This Row],[TotalVotesCast]],"Match","")</f>
        <v/>
      </c>
    </row>
    <row r="190" spans="1:15" ht="13.2">
      <c r="A190" s="1" t="s">
        <v>240</v>
      </c>
      <c r="B190" t="s">
        <v>18</v>
      </c>
      <c r="C190" t="s">
        <v>19</v>
      </c>
      <c r="D190" t="s">
        <v>200</v>
      </c>
      <c r="E190">
        <v>1020</v>
      </c>
      <c r="F190">
        <v>505</v>
      </c>
      <c r="G190">
        <v>480</v>
      </c>
      <c r="H190">
        <v>20</v>
      </c>
      <c r="I190">
        <v>1005</v>
      </c>
      <c r="J190" s="8">
        <f>Table1[[#This Row],[PartyAVotes]]/Table1[[#This Row],[RegisteredVoters]]</f>
        <v>0.49509803921568629</v>
      </c>
      <c r="K190" s="8">
        <f>Table1[[#This Row],[PartyBVotes]]/Table1[[#This Row],[RegisteredVoters]]</f>
        <v>0.47058823529411764</v>
      </c>
      <c r="L190" s="8">
        <f>Table1[[#This Row],[PartyCVotes]]/Table1[[#This Row],[RegisteredVoters]]</f>
        <v>1.9607843137254902E-2</v>
      </c>
      <c r="M190">
        <f>ABS(Table1[[#This Row],[PartyAVotes]]-Table1[[#This Row],[PartyBVotes]])</f>
        <v>25</v>
      </c>
      <c r="N190" s="11">
        <f>Table1[[#This Row],[TotalVotesCast]]/Table1[[#This Row],[RegisteredVoters]]</f>
        <v>0.98529411764705888</v>
      </c>
      <c r="O190" t="str">
        <f>IF(Table1[[#This Row],[RegisteredVoters]]=Table1[[#This Row],[TotalVotesCast]],"Match","")</f>
        <v/>
      </c>
    </row>
    <row r="191" spans="1:15" ht="13.2">
      <c r="A191" s="1" t="s">
        <v>241</v>
      </c>
      <c r="B191" t="s">
        <v>21</v>
      </c>
      <c r="C191" t="s">
        <v>23</v>
      </c>
      <c r="D191" t="s">
        <v>182</v>
      </c>
      <c r="E191">
        <v>1080</v>
      </c>
      <c r="F191">
        <v>535</v>
      </c>
      <c r="G191">
        <v>510</v>
      </c>
      <c r="H191">
        <v>20</v>
      </c>
      <c r="I191">
        <v>1065</v>
      </c>
      <c r="J191" s="8">
        <f>Table1[[#This Row],[PartyAVotes]]/Table1[[#This Row],[RegisteredVoters]]</f>
        <v>0.49537037037037035</v>
      </c>
      <c r="K191" s="8">
        <f>Table1[[#This Row],[PartyBVotes]]/Table1[[#This Row],[RegisteredVoters]]</f>
        <v>0.47222222222222221</v>
      </c>
      <c r="L191" s="8">
        <f>Table1[[#This Row],[PartyCVotes]]/Table1[[#This Row],[RegisteredVoters]]</f>
        <v>1.8518518518518517E-2</v>
      </c>
      <c r="M191">
        <f>ABS(Table1[[#This Row],[PartyAVotes]]-Table1[[#This Row],[PartyBVotes]])</f>
        <v>25</v>
      </c>
      <c r="N191" s="11">
        <f>Table1[[#This Row],[TotalVotesCast]]/Table1[[#This Row],[RegisteredVoters]]</f>
        <v>0.98611111111111116</v>
      </c>
      <c r="O191" t="str">
        <f>IF(Table1[[#This Row],[RegisteredVoters]]=Table1[[#This Row],[TotalVotesCast]],"Match","")</f>
        <v/>
      </c>
    </row>
    <row r="192" spans="1:15" ht="13.2">
      <c r="A192" s="1" t="s">
        <v>242</v>
      </c>
      <c r="B192" t="s">
        <v>10</v>
      </c>
      <c r="C192" t="s">
        <v>11</v>
      </c>
      <c r="D192" t="s">
        <v>209</v>
      </c>
      <c r="E192">
        <v>620</v>
      </c>
      <c r="F192">
        <v>305</v>
      </c>
      <c r="G192">
        <v>285</v>
      </c>
      <c r="H192">
        <v>10</v>
      </c>
      <c r="I192">
        <v>600</v>
      </c>
      <c r="J192" s="8">
        <f>Table1[[#This Row],[PartyAVotes]]/Table1[[#This Row],[RegisteredVoters]]</f>
        <v>0.49193548387096775</v>
      </c>
      <c r="K192" s="8">
        <f>Table1[[#This Row],[PartyBVotes]]/Table1[[#This Row],[RegisteredVoters]]</f>
        <v>0.45967741935483869</v>
      </c>
      <c r="L192" s="8">
        <f>Table1[[#This Row],[PartyCVotes]]/Table1[[#This Row],[RegisteredVoters]]</f>
        <v>1.6129032258064516E-2</v>
      </c>
      <c r="M192">
        <f>ABS(Table1[[#This Row],[PartyAVotes]]-Table1[[#This Row],[PartyBVotes]])</f>
        <v>20</v>
      </c>
      <c r="N192" s="11">
        <f>Table1[[#This Row],[TotalVotesCast]]/Table1[[#This Row],[RegisteredVoters]]</f>
        <v>0.967741935483871</v>
      </c>
      <c r="O192" t="str">
        <f>IF(Table1[[#This Row],[RegisteredVoters]]=Table1[[#This Row],[TotalVotesCast]],"Match","")</f>
        <v/>
      </c>
    </row>
    <row r="193" spans="1:15" ht="13.2">
      <c r="A193" s="1" t="s">
        <v>243</v>
      </c>
      <c r="B193" t="s">
        <v>15</v>
      </c>
      <c r="C193" t="s">
        <v>16</v>
      </c>
      <c r="D193" t="s">
        <v>209</v>
      </c>
      <c r="E193">
        <v>910</v>
      </c>
      <c r="F193">
        <v>455</v>
      </c>
      <c r="G193">
        <v>430</v>
      </c>
      <c r="H193">
        <v>15</v>
      </c>
      <c r="I193">
        <v>900</v>
      </c>
      <c r="J193" s="8">
        <f>Table1[[#This Row],[PartyAVotes]]/Table1[[#This Row],[RegisteredVoters]]</f>
        <v>0.5</v>
      </c>
      <c r="K193" s="8">
        <f>Table1[[#This Row],[PartyBVotes]]/Table1[[#This Row],[RegisteredVoters]]</f>
        <v>0.47252747252747251</v>
      </c>
      <c r="L193" s="8">
        <f>Table1[[#This Row],[PartyCVotes]]/Table1[[#This Row],[RegisteredVoters]]</f>
        <v>1.6483516483516484E-2</v>
      </c>
      <c r="M193">
        <f>ABS(Table1[[#This Row],[PartyAVotes]]-Table1[[#This Row],[PartyBVotes]])</f>
        <v>25</v>
      </c>
      <c r="N193" s="11">
        <f>Table1[[#This Row],[TotalVotesCast]]/Table1[[#This Row],[RegisteredVoters]]</f>
        <v>0.98901098901098905</v>
      </c>
      <c r="O193" t="str">
        <f>IF(Table1[[#This Row],[RegisteredVoters]]=Table1[[#This Row],[TotalVotesCast]],"Match","")</f>
        <v/>
      </c>
    </row>
    <row r="194" spans="1:15" ht="13.2">
      <c r="A194" s="1" t="s">
        <v>244</v>
      </c>
      <c r="B194" t="s">
        <v>18</v>
      </c>
      <c r="C194" t="s">
        <v>20</v>
      </c>
      <c r="D194" t="s">
        <v>245</v>
      </c>
      <c r="E194">
        <v>980</v>
      </c>
      <c r="F194">
        <v>485</v>
      </c>
      <c r="G194">
        <v>465</v>
      </c>
      <c r="H194">
        <v>15</v>
      </c>
      <c r="I194">
        <v>965</v>
      </c>
      <c r="J194" s="8">
        <f>Table1[[#This Row],[PartyAVotes]]/Table1[[#This Row],[RegisteredVoters]]</f>
        <v>0.49489795918367346</v>
      </c>
      <c r="K194" s="8">
        <f>Table1[[#This Row],[PartyBVotes]]/Table1[[#This Row],[RegisteredVoters]]</f>
        <v>0.47448979591836737</v>
      </c>
      <c r="L194" s="8">
        <f>Table1[[#This Row],[PartyCVotes]]/Table1[[#This Row],[RegisteredVoters]]</f>
        <v>1.5306122448979591E-2</v>
      </c>
      <c r="M194">
        <f>ABS(Table1[[#This Row],[PartyAVotes]]-Table1[[#This Row],[PartyBVotes]])</f>
        <v>20</v>
      </c>
      <c r="N194" s="11">
        <f>Table1[[#This Row],[TotalVotesCast]]/Table1[[#This Row],[RegisteredVoters]]</f>
        <v>0.98469387755102045</v>
      </c>
      <c r="O194" t="str">
        <f>IF(Table1[[#This Row],[RegisteredVoters]]=Table1[[#This Row],[TotalVotesCast]],"Match","")</f>
        <v/>
      </c>
    </row>
    <row r="195" spans="1:15" ht="13.2">
      <c r="A195" s="1" t="s">
        <v>246</v>
      </c>
      <c r="B195" t="s">
        <v>21</v>
      </c>
      <c r="C195" t="s">
        <v>22</v>
      </c>
      <c r="D195" t="s">
        <v>200</v>
      </c>
      <c r="E195">
        <v>1260</v>
      </c>
      <c r="F195">
        <v>615</v>
      </c>
      <c r="G195">
        <v>585</v>
      </c>
      <c r="H195">
        <v>25</v>
      </c>
      <c r="I195">
        <v>1225</v>
      </c>
      <c r="J195" s="8">
        <f>Table1[[#This Row],[PartyAVotes]]/Table1[[#This Row],[RegisteredVoters]]</f>
        <v>0.48809523809523808</v>
      </c>
      <c r="K195" s="8">
        <f>Table1[[#This Row],[PartyBVotes]]/Table1[[#This Row],[RegisteredVoters]]</f>
        <v>0.4642857142857143</v>
      </c>
      <c r="L195" s="8">
        <f>Table1[[#This Row],[PartyCVotes]]/Table1[[#This Row],[RegisteredVoters]]</f>
        <v>1.984126984126984E-2</v>
      </c>
      <c r="M195">
        <f>ABS(Table1[[#This Row],[PartyAVotes]]-Table1[[#This Row],[PartyBVotes]])</f>
        <v>30</v>
      </c>
      <c r="N195" s="11">
        <f>Table1[[#This Row],[TotalVotesCast]]/Table1[[#This Row],[RegisteredVoters]]</f>
        <v>0.97222222222222221</v>
      </c>
      <c r="O195" t="str">
        <f>IF(Table1[[#This Row],[RegisteredVoters]]=Table1[[#This Row],[TotalVotesCast]],"Match","")</f>
        <v/>
      </c>
    </row>
    <row r="196" spans="1:15" ht="13.2">
      <c r="A196" s="1" t="s">
        <v>247</v>
      </c>
      <c r="B196" t="s">
        <v>10</v>
      </c>
      <c r="C196" t="s">
        <v>14</v>
      </c>
      <c r="D196" t="s">
        <v>200</v>
      </c>
      <c r="E196">
        <v>700</v>
      </c>
      <c r="F196">
        <v>345</v>
      </c>
      <c r="G196">
        <v>325</v>
      </c>
      <c r="H196">
        <v>15</v>
      </c>
      <c r="I196">
        <v>685</v>
      </c>
      <c r="J196" s="8">
        <f>Table1[[#This Row],[PartyAVotes]]/Table1[[#This Row],[RegisteredVoters]]</f>
        <v>0.49285714285714288</v>
      </c>
      <c r="K196" s="8">
        <f>Table1[[#This Row],[PartyBVotes]]/Table1[[#This Row],[RegisteredVoters]]</f>
        <v>0.4642857142857143</v>
      </c>
      <c r="L196" s="8">
        <f>Table1[[#This Row],[PartyCVotes]]/Table1[[#This Row],[RegisteredVoters]]</f>
        <v>2.1428571428571429E-2</v>
      </c>
      <c r="M196">
        <f>ABS(Table1[[#This Row],[PartyAVotes]]-Table1[[#This Row],[PartyBVotes]])</f>
        <v>20</v>
      </c>
      <c r="N196" s="11">
        <f>Table1[[#This Row],[TotalVotesCast]]/Table1[[#This Row],[RegisteredVoters]]</f>
        <v>0.97857142857142854</v>
      </c>
      <c r="O196" t="str">
        <f>IF(Table1[[#This Row],[RegisteredVoters]]=Table1[[#This Row],[TotalVotesCast]],"Match","")</f>
        <v/>
      </c>
    </row>
    <row r="197" spans="1:15" ht="13.2">
      <c r="A197" s="1" t="s">
        <v>248</v>
      </c>
      <c r="B197" t="s">
        <v>15</v>
      </c>
      <c r="C197" t="s">
        <v>17</v>
      </c>
      <c r="D197" t="s">
        <v>182</v>
      </c>
      <c r="E197">
        <v>760</v>
      </c>
      <c r="F197">
        <v>375</v>
      </c>
      <c r="G197">
        <v>355</v>
      </c>
      <c r="H197">
        <v>15</v>
      </c>
      <c r="I197">
        <v>745</v>
      </c>
      <c r="J197" s="8">
        <f>Table1[[#This Row],[PartyAVotes]]/Table1[[#This Row],[RegisteredVoters]]</f>
        <v>0.49342105263157893</v>
      </c>
      <c r="K197" s="8">
        <f>Table1[[#This Row],[PartyBVotes]]/Table1[[#This Row],[RegisteredVoters]]</f>
        <v>0.46710526315789475</v>
      </c>
      <c r="L197" s="8">
        <f>Table1[[#This Row],[PartyCVotes]]/Table1[[#This Row],[RegisteredVoters]]</f>
        <v>1.9736842105263157E-2</v>
      </c>
      <c r="M197">
        <f>ABS(Table1[[#This Row],[PartyAVotes]]-Table1[[#This Row],[PartyBVotes]])</f>
        <v>20</v>
      </c>
      <c r="N197" s="11">
        <f>Table1[[#This Row],[TotalVotesCast]]/Table1[[#This Row],[RegisteredVoters]]</f>
        <v>0.98026315789473684</v>
      </c>
      <c r="O197" t="str">
        <f>IF(Table1[[#This Row],[RegisteredVoters]]=Table1[[#This Row],[TotalVotesCast]],"Match","")</f>
        <v/>
      </c>
    </row>
    <row r="198" spans="1:15" ht="13.2">
      <c r="A198" s="1" t="s">
        <v>249</v>
      </c>
      <c r="B198" t="s">
        <v>18</v>
      </c>
      <c r="C198" t="s">
        <v>19</v>
      </c>
      <c r="D198" t="s">
        <v>209</v>
      </c>
      <c r="E198">
        <v>1030</v>
      </c>
      <c r="F198">
        <v>510</v>
      </c>
      <c r="G198">
        <v>485</v>
      </c>
      <c r="H198">
        <v>20</v>
      </c>
      <c r="I198">
        <v>1015</v>
      </c>
      <c r="J198" s="8">
        <f>Table1[[#This Row],[PartyAVotes]]/Table1[[#This Row],[RegisteredVoters]]</f>
        <v>0.49514563106796117</v>
      </c>
      <c r="K198" s="8">
        <f>Table1[[#This Row],[PartyBVotes]]/Table1[[#This Row],[RegisteredVoters]]</f>
        <v>0.470873786407767</v>
      </c>
      <c r="L198" s="8">
        <f>Table1[[#This Row],[PartyCVotes]]/Table1[[#This Row],[RegisteredVoters]]</f>
        <v>1.9417475728155338E-2</v>
      </c>
      <c r="M198">
        <f>ABS(Table1[[#This Row],[PartyAVotes]]-Table1[[#This Row],[PartyBVotes]])</f>
        <v>25</v>
      </c>
      <c r="N198" s="11">
        <f>Table1[[#This Row],[TotalVotesCast]]/Table1[[#This Row],[RegisteredVoters]]</f>
        <v>0.9854368932038835</v>
      </c>
      <c r="O198" t="str">
        <f>IF(Table1[[#This Row],[RegisteredVoters]]=Table1[[#This Row],[TotalVotesCast]],"Match","")</f>
        <v/>
      </c>
    </row>
    <row r="199" spans="1:15" ht="13.2">
      <c r="A199" s="1" t="s">
        <v>250</v>
      </c>
      <c r="B199" t="s">
        <v>21</v>
      </c>
      <c r="C199" t="s">
        <v>23</v>
      </c>
      <c r="D199" t="s">
        <v>191</v>
      </c>
      <c r="E199">
        <v>1090</v>
      </c>
      <c r="F199">
        <v>540</v>
      </c>
      <c r="G199">
        <v>515</v>
      </c>
      <c r="H199">
        <v>20</v>
      </c>
      <c r="I199">
        <v>1075</v>
      </c>
      <c r="J199" s="8">
        <f>Table1[[#This Row],[PartyAVotes]]/Table1[[#This Row],[RegisteredVoters]]</f>
        <v>0.49541284403669728</v>
      </c>
      <c r="K199" s="8">
        <f>Table1[[#This Row],[PartyBVotes]]/Table1[[#This Row],[RegisteredVoters]]</f>
        <v>0.47247706422018348</v>
      </c>
      <c r="L199" s="8">
        <f>Table1[[#This Row],[PartyCVotes]]/Table1[[#This Row],[RegisteredVoters]]</f>
        <v>1.834862385321101E-2</v>
      </c>
      <c r="M199">
        <f>ABS(Table1[[#This Row],[PartyAVotes]]-Table1[[#This Row],[PartyBVotes]])</f>
        <v>25</v>
      </c>
      <c r="N199" s="11">
        <f>Table1[[#This Row],[TotalVotesCast]]/Table1[[#This Row],[RegisteredVoters]]</f>
        <v>0.98623853211009171</v>
      </c>
      <c r="O199" t="str">
        <f>IF(Table1[[#This Row],[RegisteredVoters]]=Table1[[#This Row],[TotalVotesCast]],"Match","")</f>
        <v/>
      </c>
    </row>
    <row r="200" spans="1:15" ht="13.2">
      <c r="A200" s="1" t="s">
        <v>251</v>
      </c>
      <c r="B200" t="s">
        <v>10</v>
      </c>
      <c r="C200" t="s">
        <v>11</v>
      </c>
      <c r="D200" t="s">
        <v>218</v>
      </c>
      <c r="E200">
        <v>630</v>
      </c>
      <c r="F200">
        <v>310</v>
      </c>
      <c r="G200">
        <v>290</v>
      </c>
      <c r="H200">
        <v>10</v>
      </c>
      <c r="I200">
        <v>610</v>
      </c>
      <c r="J200" s="8">
        <f>Table1[[#This Row],[PartyAVotes]]/Table1[[#This Row],[RegisteredVoters]]</f>
        <v>0.49206349206349204</v>
      </c>
      <c r="K200" s="8">
        <f>Table1[[#This Row],[PartyBVotes]]/Table1[[#This Row],[RegisteredVoters]]</f>
        <v>0.46031746031746029</v>
      </c>
      <c r="L200" s="8">
        <f>Table1[[#This Row],[PartyCVotes]]/Table1[[#This Row],[RegisteredVoters]]</f>
        <v>1.5873015873015872E-2</v>
      </c>
      <c r="M200">
        <f>ABS(Table1[[#This Row],[PartyAVotes]]-Table1[[#This Row],[PartyBVotes]])</f>
        <v>20</v>
      </c>
      <c r="N200" s="11">
        <f>Table1[[#This Row],[TotalVotesCast]]/Table1[[#This Row],[RegisteredVoters]]</f>
        <v>0.96825396825396826</v>
      </c>
      <c r="O200" t="str">
        <f>IF(Table1[[#This Row],[RegisteredVoters]]=Table1[[#This Row],[TotalVotesCast]],"Match","")</f>
        <v/>
      </c>
    </row>
    <row r="201" spans="1:15" ht="13.2">
      <c r="A201" s="1" t="s">
        <v>252</v>
      </c>
      <c r="B201" t="s">
        <v>15</v>
      </c>
      <c r="C201" t="s">
        <v>16</v>
      </c>
      <c r="D201" t="s">
        <v>218</v>
      </c>
      <c r="E201">
        <v>920</v>
      </c>
      <c r="F201">
        <v>460</v>
      </c>
      <c r="G201">
        <v>435</v>
      </c>
      <c r="H201">
        <v>15</v>
      </c>
      <c r="I201">
        <v>910</v>
      </c>
      <c r="J201" s="8">
        <f>Table1[[#This Row],[PartyAVotes]]/Table1[[#This Row],[RegisteredVoters]]</f>
        <v>0.5</v>
      </c>
      <c r="K201" s="8">
        <f>Table1[[#This Row],[PartyBVotes]]/Table1[[#This Row],[RegisteredVoters]]</f>
        <v>0.47282608695652173</v>
      </c>
      <c r="L201" s="8">
        <f>Table1[[#This Row],[PartyCVotes]]/Table1[[#This Row],[RegisteredVoters]]</f>
        <v>1.6304347826086956E-2</v>
      </c>
      <c r="M201">
        <f>ABS(Table1[[#This Row],[PartyAVotes]]-Table1[[#This Row],[PartyBVotes]])</f>
        <v>25</v>
      </c>
      <c r="N201" s="11">
        <f>Table1[[#This Row],[TotalVotesCast]]/Table1[[#This Row],[RegisteredVoters]]</f>
        <v>0.98913043478260865</v>
      </c>
      <c r="O201" t="str">
        <f>IF(Table1[[#This Row],[RegisteredVoters]]=Table1[[#This Row],[TotalVotesCast]],"Match","")</f>
        <v/>
      </c>
    </row>
    <row r="202" spans="1:15" ht="13.2">
      <c r="A202" s="1" t="s">
        <v>253</v>
      </c>
      <c r="B202" t="s">
        <v>18</v>
      </c>
      <c r="C202" t="s">
        <v>20</v>
      </c>
      <c r="D202" t="s">
        <v>254</v>
      </c>
      <c r="E202">
        <v>990</v>
      </c>
      <c r="F202">
        <v>490</v>
      </c>
      <c r="G202">
        <v>470</v>
      </c>
      <c r="H202">
        <v>15</v>
      </c>
      <c r="I202">
        <v>975</v>
      </c>
      <c r="J202" s="8">
        <f>Table1[[#This Row],[PartyAVotes]]/Table1[[#This Row],[RegisteredVoters]]</f>
        <v>0.49494949494949497</v>
      </c>
      <c r="K202" s="8">
        <f>Table1[[#This Row],[PartyBVotes]]/Table1[[#This Row],[RegisteredVoters]]</f>
        <v>0.47474747474747475</v>
      </c>
      <c r="L202" s="8">
        <f>Table1[[#This Row],[PartyCVotes]]/Table1[[#This Row],[RegisteredVoters]]</f>
        <v>1.5151515151515152E-2</v>
      </c>
      <c r="M202">
        <f>ABS(Table1[[#This Row],[PartyAVotes]]-Table1[[#This Row],[PartyBVotes]])</f>
        <v>20</v>
      </c>
      <c r="N202" s="11">
        <f>Table1[[#This Row],[TotalVotesCast]]/Table1[[#This Row],[RegisteredVoters]]</f>
        <v>0.98484848484848486</v>
      </c>
      <c r="O202" t="str">
        <f>IF(Table1[[#This Row],[RegisteredVoters]]=Table1[[#This Row],[TotalVotesCast]],"Match","")</f>
        <v/>
      </c>
    </row>
    <row r="203" spans="1:15" ht="13.2">
      <c r="A203" s="1" t="s">
        <v>255</v>
      </c>
      <c r="B203" t="s">
        <v>21</v>
      </c>
      <c r="C203" t="s">
        <v>22</v>
      </c>
      <c r="D203" t="s">
        <v>209</v>
      </c>
      <c r="E203">
        <v>1270</v>
      </c>
      <c r="F203">
        <v>620</v>
      </c>
      <c r="G203">
        <v>590</v>
      </c>
      <c r="H203">
        <v>25</v>
      </c>
      <c r="I203">
        <v>1235</v>
      </c>
      <c r="J203" s="8">
        <f>Table1[[#This Row],[PartyAVotes]]/Table1[[#This Row],[RegisteredVoters]]</f>
        <v>0.48818897637795278</v>
      </c>
      <c r="K203" s="8">
        <f>Table1[[#This Row],[PartyBVotes]]/Table1[[#This Row],[RegisteredVoters]]</f>
        <v>0.46456692913385828</v>
      </c>
      <c r="L203" s="8">
        <f>Table1[[#This Row],[PartyCVotes]]/Table1[[#This Row],[RegisteredVoters]]</f>
        <v>1.968503937007874E-2</v>
      </c>
      <c r="M203">
        <f>ABS(Table1[[#This Row],[PartyAVotes]]-Table1[[#This Row],[PartyBVotes]])</f>
        <v>30</v>
      </c>
      <c r="N203" s="11">
        <f>Table1[[#This Row],[TotalVotesCast]]/Table1[[#This Row],[RegisteredVoters]]</f>
        <v>0.97244094488188981</v>
      </c>
      <c r="O203" t="str">
        <f>IF(Table1[[#This Row],[RegisteredVoters]]=Table1[[#This Row],[TotalVotesCast]],"Match","")</f>
        <v/>
      </c>
    </row>
    <row r="204" spans="1:15" ht="13.2">
      <c r="A204" s="1" t="s">
        <v>256</v>
      </c>
      <c r="B204" t="s">
        <v>10</v>
      </c>
      <c r="C204" t="s">
        <v>11</v>
      </c>
      <c r="D204" t="s">
        <v>227</v>
      </c>
      <c r="E204">
        <v>640</v>
      </c>
      <c r="F204">
        <v>310</v>
      </c>
      <c r="G204">
        <v>290</v>
      </c>
      <c r="H204">
        <v>15</v>
      </c>
      <c r="I204">
        <v>615</v>
      </c>
      <c r="J204" s="8">
        <f>Table1[[#This Row],[PartyAVotes]]/Table1[[#This Row],[RegisteredVoters]]</f>
        <v>0.484375</v>
      </c>
      <c r="K204" s="8">
        <f>Table1[[#This Row],[PartyBVotes]]/Table1[[#This Row],[RegisteredVoters]]</f>
        <v>0.453125</v>
      </c>
      <c r="L204" s="8">
        <f>Table1[[#This Row],[PartyCVotes]]/Table1[[#This Row],[RegisteredVoters]]</f>
        <v>2.34375E-2</v>
      </c>
      <c r="M204">
        <f>ABS(Table1[[#This Row],[PartyAVotes]]-Table1[[#This Row],[PartyBVotes]])</f>
        <v>20</v>
      </c>
      <c r="N204" s="11">
        <f>Table1[[#This Row],[TotalVotesCast]]/Table1[[#This Row],[RegisteredVoters]]</f>
        <v>0.9609375</v>
      </c>
      <c r="O204" t="str">
        <f>IF(Table1[[#This Row],[RegisteredVoters]]=Table1[[#This Row],[TotalVotesCast]],"Match","")</f>
        <v/>
      </c>
    </row>
    <row r="205" spans="1:15" ht="13.2">
      <c r="A205" s="1" t="s">
        <v>257</v>
      </c>
      <c r="B205" t="s">
        <v>15</v>
      </c>
      <c r="C205" t="s">
        <v>16</v>
      </c>
      <c r="D205" t="s">
        <v>227</v>
      </c>
      <c r="E205">
        <v>930</v>
      </c>
      <c r="F205">
        <v>460</v>
      </c>
      <c r="G205">
        <v>440</v>
      </c>
      <c r="H205">
        <v>20</v>
      </c>
      <c r="I205">
        <v>920</v>
      </c>
      <c r="J205" s="8">
        <f>Table1[[#This Row],[PartyAVotes]]/Table1[[#This Row],[RegisteredVoters]]</f>
        <v>0.4946236559139785</v>
      </c>
      <c r="K205" s="8">
        <f>Table1[[#This Row],[PartyBVotes]]/Table1[[#This Row],[RegisteredVoters]]</f>
        <v>0.4731182795698925</v>
      </c>
      <c r="L205" s="8">
        <f>Table1[[#This Row],[PartyCVotes]]/Table1[[#This Row],[RegisteredVoters]]</f>
        <v>2.1505376344086023E-2</v>
      </c>
      <c r="M205">
        <f>ABS(Table1[[#This Row],[PartyAVotes]]-Table1[[#This Row],[PartyBVotes]])</f>
        <v>20</v>
      </c>
      <c r="N205" s="11">
        <f>Table1[[#This Row],[TotalVotesCast]]/Table1[[#This Row],[RegisteredVoters]]</f>
        <v>0.989247311827957</v>
      </c>
      <c r="O205" t="str">
        <f>IF(Table1[[#This Row],[RegisteredVoters]]=Table1[[#This Row],[TotalVotesCast]],"Match","")</f>
        <v/>
      </c>
    </row>
    <row r="206" spans="1:15" ht="13.2">
      <c r="A206" s="1" t="s">
        <v>258</v>
      </c>
      <c r="B206" t="s">
        <v>18</v>
      </c>
      <c r="C206" t="s">
        <v>20</v>
      </c>
      <c r="D206" t="s">
        <v>259</v>
      </c>
      <c r="E206">
        <v>1000</v>
      </c>
      <c r="F206">
        <v>495</v>
      </c>
      <c r="G206">
        <v>475</v>
      </c>
      <c r="H206">
        <v>15</v>
      </c>
      <c r="I206">
        <v>985</v>
      </c>
      <c r="J206" s="8">
        <f>Table1[[#This Row],[PartyAVotes]]/Table1[[#This Row],[RegisteredVoters]]</f>
        <v>0.495</v>
      </c>
      <c r="K206" s="8">
        <f>Table1[[#This Row],[PartyBVotes]]/Table1[[#This Row],[RegisteredVoters]]</f>
        <v>0.47499999999999998</v>
      </c>
      <c r="L206" s="8">
        <f>Table1[[#This Row],[PartyCVotes]]/Table1[[#This Row],[RegisteredVoters]]</f>
        <v>1.4999999999999999E-2</v>
      </c>
      <c r="M206">
        <f>ABS(Table1[[#This Row],[PartyAVotes]]-Table1[[#This Row],[PartyBVotes]])</f>
        <v>20</v>
      </c>
      <c r="N206" s="11">
        <f>Table1[[#This Row],[TotalVotesCast]]/Table1[[#This Row],[RegisteredVoters]]</f>
        <v>0.98499999999999999</v>
      </c>
      <c r="O206" t="str">
        <f>IF(Table1[[#This Row],[RegisteredVoters]]=Table1[[#This Row],[TotalVotesCast]],"Match","")</f>
        <v/>
      </c>
    </row>
    <row r="207" spans="1:15" ht="13.2">
      <c r="A207" s="1" t="s">
        <v>260</v>
      </c>
      <c r="B207" t="s">
        <v>21</v>
      </c>
      <c r="C207" t="s">
        <v>22</v>
      </c>
      <c r="D207" t="s">
        <v>218</v>
      </c>
      <c r="E207">
        <v>1280</v>
      </c>
      <c r="F207">
        <v>625</v>
      </c>
      <c r="G207">
        <v>595</v>
      </c>
      <c r="H207">
        <v>25</v>
      </c>
      <c r="I207">
        <v>1245</v>
      </c>
      <c r="J207" s="8">
        <f>Table1[[#This Row],[PartyAVotes]]/Table1[[#This Row],[RegisteredVoters]]</f>
        <v>0.48828125</v>
      </c>
      <c r="K207" s="8">
        <f>Table1[[#This Row],[PartyBVotes]]/Table1[[#This Row],[RegisteredVoters]]</f>
        <v>0.46484375</v>
      </c>
      <c r="L207" s="8">
        <f>Table1[[#This Row],[PartyCVotes]]/Table1[[#This Row],[RegisteredVoters]]</f>
        <v>1.953125E-2</v>
      </c>
      <c r="M207">
        <f>ABS(Table1[[#This Row],[PartyAVotes]]-Table1[[#This Row],[PartyBVotes]])</f>
        <v>30</v>
      </c>
      <c r="N207" s="11">
        <f>Table1[[#This Row],[TotalVotesCast]]/Table1[[#This Row],[RegisteredVoters]]</f>
        <v>0.97265625</v>
      </c>
      <c r="O207" t="str">
        <f>IF(Table1[[#This Row],[RegisteredVoters]]=Table1[[#This Row],[TotalVotesCast]],"Match","")</f>
        <v/>
      </c>
    </row>
    <row r="208" spans="1:15" ht="13.2">
      <c r="A208" s="1" t="s">
        <v>261</v>
      </c>
      <c r="B208" t="s">
        <v>10</v>
      </c>
      <c r="C208" t="s">
        <v>14</v>
      </c>
      <c r="D208" t="s">
        <v>209</v>
      </c>
      <c r="E208">
        <v>710</v>
      </c>
      <c r="F208">
        <v>350</v>
      </c>
      <c r="G208">
        <v>330</v>
      </c>
      <c r="H208">
        <v>15</v>
      </c>
      <c r="I208">
        <v>695</v>
      </c>
      <c r="J208" s="8">
        <f>Table1[[#This Row],[PartyAVotes]]/Table1[[#This Row],[RegisteredVoters]]</f>
        <v>0.49295774647887325</v>
      </c>
      <c r="K208" s="8">
        <f>Table1[[#This Row],[PartyBVotes]]/Table1[[#This Row],[RegisteredVoters]]</f>
        <v>0.46478873239436619</v>
      </c>
      <c r="L208" s="8">
        <f>Table1[[#This Row],[PartyCVotes]]/Table1[[#This Row],[RegisteredVoters]]</f>
        <v>2.1126760563380281E-2</v>
      </c>
      <c r="M208">
        <f>ABS(Table1[[#This Row],[PartyAVotes]]-Table1[[#This Row],[PartyBVotes]])</f>
        <v>20</v>
      </c>
      <c r="N208" s="11">
        <f>Table1[[#This Row],[TotalVotesCast]]/Table1[[#This Row],[RegisteredVoters]]</f>
        <v>0.97887323943661975</v>
      </c>
      <c r="O208" t="str">
        <f>IF(Table1[[#This Row],[RegisteredVoters]]=Table1[[#This Row],[TotalVotesCast]],"Match","")</f>
        <v/>
      </c>
    </row>
    <row r="209" spans="1:15" ht="13.2">
      <c r="A209" s="1" t="s">
        <v>262</v>
      </c>
      <c r="B209" t="s">
        <v>15</v>
      </c>
      <c r="C209" t="s">
        <v>17</v>
      </c>
      <c r="D209" t="s">
        <v>191</v>
      </c>
      <c r="E209">
        <v>770</v>
      </c>
      <c r="F209">
        <v>380</v>
      </c>
      <c r="G209">
        <v>360</v>
      </c>
      <c r="H209">
        <v>15</v>
      </c>
      <c r="I209">
        <v>755</v>
      </c>
      <c r="J209" s="8">
        <f>Table1[[#This Row],[PartyAVotes]]/Table1[[#This Row],[RegisteredVoters]]</f>
        <v>0.4935064935064935</v>
      </c>
      <c r="K209" s="8">
        <f>Table1[[#This Row],[PartyBVotes]]/Table1[[#This Row],[RegisteredVoters]]</f>
        <v>0.46753246753246752</v>
      </c>
      <c r="L209" s="8">
        <f>Table1[[#This Row],[PartyCVotes]]/Table1[[#This Row],[RegisteredVoters]]</f>
        <v>1.948051948051948E-2</v>
      </c>
      <c r="M209">
        <f>ABS(Table1[[#This Row],[PartyAVotes]]-Table1[[#This Row],[PartyBVotes]])</f>
        <v>20</v>
      </c>
      <c r="N209" s="11">
        <f>Table1[[#This Row],[TotalVotesCast]]/Table1[[#This Row],[RegisteredVoters]]</f>
        <v>0.98051948051948057</v>
      </c>
      <c r="O209" t="str">
        <f>IF(Table1[[#This Row],[RegisteredVoters]]=Table1[[#This Row],[TotalVotesCast]],"Match","")</f>
        <v/>
      </c>
    </row>
    <row r="210" spans="1:15" ht="13.2">
      <c r="A210" s="1" t="s">
        <v>263</v>
      </c>
      <c r="B210" t="s">
        <v>18</v>
      </c>
      <c r="C210" t="s">
        <v>19</v>
      </c>
      <c r="D210" t="s">
        <v>218</v>
      </c>
      <c r="E210">
        <v>1040</v>
      </c>
      <c r="F210">
        <v>515</v>
      </c>
      <c r="G210">
        <v>490</v>
      </c>
      <c r="H210">
        <v>20</v>
      </c>
      <c r="I210">
        <v>1025</v>
      </c>
      <c r="J210" s="8">
        <f>Table1[[#This Row],[PartyAVotes]]/Table1[[#This Row],[RegisteredVoters]]</f>
        <v>0.49519230769230771</v>
      </c>
      <c r="K210" s="8">
        <f>Table1[[#This Row],[PartyBVotes]]/Table1[[#This Row],[RegisteredVoters]]</f>
        <v>0.47115384615384615</v>
      </c>
      <c r="L210" s="8">
        <f>Table1[[#This Row],[PartyCVotes]]/Table1[[#This Row],[RegisteredVoters]]</f>
        <v>1.9230769230769232E-2</v>
      </c>
      <c r="M210">
        <f>ABS(Table1[[#This Row],[PartyAVotes]]-Table1[[#This Row],[PartyBVotes]])</f>
        <v>25</v>
      </c>
      <c r="N210" s="11">
        <f>Table1[[#This Row],[TotalVotesCast]]/Table1[[#This Row],[RegisteredVoters]]</f>
        <v>0.98557692307692313</v>
      </c>
      <c r="O210" t="str">
        <f>IF(Table1[[#This Row],[RegisteredVoters]]=Table1[[#This Row],[TotalVotesCast]],"Match","")</f>
        <v/>
      </c>
    </row>
    <row r="211" spans="1:15" ht="13.2">
      <c r="A211" s="1" t="s">
        <v>264</v>
      </c>
      <c r="B211" t="s">
        <v>21</v>
      </c>
      <c r="C211" t="s">
        <v>23</v>
      </c>
      <c r="D211" t="s">
        <v>200</v>
      </c>
      <c r="E211">
        <v>1100</v>
      </c>
      <c r="F211">
        <v>545</v>
      </c>
      <c r="G211">
        <v>520</v>
      </c>
      <c r="H211">
        <v>20</v>
      </c>
      <c r="I211">
        <v>1085</v>
      </c>
      <c r="J211" s="8">
        <f>Table1[[#This Row],[PartyAVotes]]/Table1[[#This Row],[RegisteredVoters]]</f>
        <v>0.49545454545454548</v>
      </c>
      <c r="K211" s="8">
        <f>Table1[[#This Row],[PartyBVotes]]/Table1[[#This Row],[RegisteredVoters]]</f>
        <v>0.47272727272727272</v>
      </c>
      <c r="L211" s="8">
        <f>Table1[[#This Row],[PartyCVotes]]/Table1[[#This Row],[RegisteredVoters]]</f>
        <v>1.8181818181818181E-2</v>
      </c>
      <c r="M211">
        <f>ABS(Table1[[#This Row],[PartyAVotes]]-Table1[[#This Row],[PartyBVotes]])</f>
        <v>25</v>
      </c>
      <c r="N211" s="11">
        <f>Table1[[#This Row],[TotalVotesCast]]/Table1[[#This Row],[RegisteredVoters]]</f>
        <v>0.98636363636363633</v>
      </c>
      <c r="O211" t="str">
        <f>IF(Table1[[#This Row],[RegisteredVoters]]=Table1[[#This Row],[TotalVotesCast]],"Match","")</f>
        <v/>
      </c>
    </row>
    <row r="212" spans="1:15" ht="13.2">
      <c r="A212" s="1" t="s">
        <v>265</v>
      </c>
      <c r="B212" t="s">
        <v>10</v>
      </c>
      <c r="C212" t="s">
        <v>11</v>
      </c>
      <c r="D212" t="s">
        <v>236</v>
      </c>
      <c r="E212">
        <v>650</v>
      </c>
      <c r="F212">
        <v>315</v>
      </c>
      <c r="G212">
        <v>295</v>
      </c>
      <c r="H212">
        <v>15</v>
      </c>
      <c r="I212">
        <v>625</v>
      </c>
      <c r="J212" s="8">
        <f>Table1[[#This Row],[PartyAVotes]]/Table1[[#This Row],[RegisteredVoters]]</f>
        <v>0.48461538461538461</v>
      </c>
      <c r="K212" s="8">
        <f>Table1[[#This Row],[PartyBVotes]]/Table1[[#This Row],[RegisteredVoters]]</f>
        <v>0.45384615384615384</v>
      </c>
      <c r="L212" s="8">
        <f>Table1[[#This Row],[PartyCVotes]]/Table1[[#This Row],[RegisteredVoters]]</f>
        <v>2.3076923076923078E-2</v>
      </c>
      <c r="M212">
        <f>ABS(Table1[[#This Row],[PartyAVotes]]-Table1[[#This Row],[PartyBVotes]])</f>
        <v>20</v>
      </c>
      <c r="N212" s="11">
        <f>Table1[[#This Row],[TotalVotesCast]]/Table1[[#This Row],[RegisteredVoters]]</f>
        <v>0.96153846153846156</v>
      </c>
      <c r="O212" t="str">
        <f>IF(Table1[[#This Row],[RegisteredVoters]]=Table1[[#This Row],[TotalVotesCast]],"Match","")</f>
        <v/>
      </c>
    </row>
    <row r="213" spans="1:15" ht="13.2">
      <c r="A213" s="1" t="s">
        <v>266</v>
      </c>
      <c r="B213" t="s">
        <v>15</v>
      </c>
      <c r="C213" t="s">
        <v>16</v>
      </c>
      <c r="D213" t="s">
        <v>236</v>
      </c>
      <c r="E213">
        <v>940</v>
      </c>
      <c r="F213">
        <v>465</v>
      </c>
      <c r="G213">
        <v>445</v>
      </c>
      <c r="H213">
        <v>20</v>
      </c>
      <c r="I213">
        <v>930</v>
      </c>
      <c r="J213" s="8">
        <f>Table1[[#This Row],[PartyAVotes]]/Table1[[#This Row],[RegisteredVoters]]</f>
        <v>0.49468085106382981</v>
      </c>
      <c r="K213" s="8">
        <f>Table1[[#This Row],[PartyBVotes]]/Table1[[#This Row],[RegisteredVoters]]</f>
        <v>0.47340425531914893</v>
      </c>
      <c r="L213" s="8">
        <f>Table1[[#This Row],[PartyCVotes]]/Table1[[#This Row],[RegisteredVoters]]</f>
        <v>2.1276595744680851E-2</v>
      </c>
      <c r="M213">
        <f>ABS(Table1[[#This Row],[PartyAVotes]]-Table1[[#This Row],[PartyBVotes]])</f>
        <v>20</v>
      </c>
      <c r="N213" s="11">
        <f>Table1[[#This Row],[TotalVotesCast]]/Table1[[#This Row],[RegisteredVoters]]</f>
        <v>0.98936170212765961</v>
      </c>
      <c r="O213" t="str">
        <f>IF(Table1[[#This Row],[RegisteredVoters]]=Table1[[#This Row],[TotalVotesCast]],"Match","")</f>
        <v/>
      </c>
    </row>
    <row r="214" spans="1:15" ht="13.2">
      <c r="A214" s="1" t="s">
        <v>267</v>
      </c>
      <c r="B214" t="s">
        <v>18</v>
      </c>
      <c r="C214" t="s">
        <v>20</v>
      </c>
      <c r="D214" t="s">
        <v>268</v>
      </c>
      <c r="E214">
        <v>1010</v>
      </c>
      <c r="F214">
        <v>500</v>
      </c>
      <c r="G214">
        <v>480</v>
      </c>
      <c r="H214">
        <v>15</v>
      </c>
      <c r="I214">
        <v>995</v>
      </c>
      <c r="J214" s="8">
        <f>Table1[[#This Row],[PartyAVotes]]/Table1[[#This Row],[RegisteredVoters]]</f>
        <v>0.49504950495049505</v>
      </c>
      <c r="K214" s="8">
        <f>Table1[[#This Row],[PartyBVotes]]/Table1[[#This Row],[RegisteredVoters]]</f>
        <v>0.47524752475247523</v>
      </c>
      <c r="L214" s="8">
        <f>Table1[[#This Row],[PartyCVotes]]/Table1[[#This Row],[RegisteredVoters]]</f>
        <v>1.4851485148514851E-2</v>
      </c>
      <c r="M214">
        <f>ABS(Table1[[#This Row],[PartyAVotes]]-Table1[[#This Row],[PartyBVotes]])</f>
        <v>20</v>
      </c>
      <c r="N214" s="11">
        <f>Table1[[#This Row],[TotalVotesCast]]/Table1[[#This Row],[RegisteredVoters]]</f>
        <v>0.98514851485148514</v>
      </c>
      <c r="O214" t="str">
        <f>IF(Table1[[#This Row],[RegisteredVoters]]=Table1[[#This Row],[TotalVotesCast]],"Match","")</f>
        <v/>
      </c>
    </row>
    <row r="215" spans="1:15" ht="13.2">
      <c r="A215" s="1" t="s">
        <v>269</v>
      </c>
      <c r="B215" t="s">
        <v>21</v>
      </c>
      <c r="C215" t="s">
        <v>22</v>
      </c>
      <c r="D215" t="s">
        <v>227</v>
      </c>
      <c r="E215">
        <v>1290</v>
      </c>
      <c r="F215">
        <v>630</v>
      </c>
      <c r="G215">
        <v>600</v>
      </c>
      <c r="H215">
        <v>25</v>
      </c>
      <c r="I215">
        <v>1255</v>
      </c>
      <c r="J215" s="8">
        <f>Table1[[#This Row],[PartyAVotes]]/Table1[[#This Row],[RegisteredVoters]]</f>
        <v>0.48837209302325579</v>
      </c>
      <c r="K215" s="8">
        <f>Table1[[#This Row],[PartyBVotes]]/Table1[[#This Row],[RegisteredVoters]]</f>
        <v>0.46511627906976744</v>
      </c>
      <c r="L215" s="8">
        <f>Table1[[#This Row],[PartyCVotes]]/Table1[[#This Row],[RegisteredVoters]]</f>
        <v>1.937984496124031E-2</v>
      </c>
      <c r="M215">
        <f>ABS(Table1[[#This Row],[PartyAVotes]]-Table1[[#This Row],[PartyBVotes]])</f>
        <v>30</v>
      </c>
      <c r="N215" s="11">
        <f>Table1[[#This Row],[TotalVotesCast]]/Table1[[#This Row],[RegisteredVoters]]</f>
        <v>0.97286821705426352</v>
      </c>
      <c r="O215" t="str">
        <f>IF(Table1[[#This Row],[RegisteredVoters]]=Table1[[#This Row],[TotalVotesCast]],"Match","")</f>
        <v/>
      </c>
    </row>
    <row r="216" spans="1:15" ht="13.2">
      <c r="A216" s="1" t="s">
        <v>270</v>
      </c>
      <c r="B216" t="s">
        <v>10</v>
      </c>
      <c r="C216" t="s">
        <v>14</v>
      </c>
      <c r="D216" t="s">
        <v>218</v>
      </c>
      <c r="E216">
        <v>720</v>
      </c>
      <c r="F216">
        <v>355</v>
      </c>
      <c r="G216">
        <v>335</v>
      </c>
      <c r="H216">
        <v>15</v>
      </c>
      <c r="I216">
        <v>705</v>
      </c>
      <c r="J216" s="8">
        <f>Table1[[#This Row],[PartyAVotes]]/Table1[[#This Row],[RegisteredVoters]]</f>
        <v>0.49305555555555558</v>
      </c>
      <c r="K216" s="8">
        <f>Table1[[#This Row],[PartyBVotes]]/Table1[[#This Row],[RegisteredVoters]]</f>
        <v>0.46527777777777779</v>
      </c>
      <c r="L216" s="8">
        <f>Table1[[#This Row],[PartyCVotes]]/Table1[[#This Row],[RegisteredVoters]]</f>
        <v>2.0833333333333332E-2</v>
      </c>
      <c r="M216">
        <f>ABS(Table1[[#This Row],[PartyAVotes]]-Table1[[#This Row],[PartyBVotes]])</f>
        <v>20</v>
      </c>
      <c r="N216" s="11">
        <f>Table1[[#This Row],[TotalVotesCast]]/Table1[[#This Row],[RegisteredVoters]]</f>
        <v>0.97916666666666663</v>
      </c>
      <c r="O216" t="str">
        <f>IF(Table1[[#This Row],[RegisteredVoters]]=Table1[[#This Row],[TotalVotesCast]],"Match","")</f>
        <v/>
      </c>
    </row>
    <row r="217" spans="1:15" ht="13.2">
      <c r="A217" s="1" t="s">
        <v>271</v>
      </c>
      <c r="B217" t="s">
        <v>15</v>
      </c>
      <c r="C217" t="s">
        <v>17</v>
      </c>
      <c r="D217" t="s">
        <v>200</v>
      </c>
      <c r="E217">
        <v>780</v>
      </c>
      <c r="F217">
        <v>385</v>
      </c>
      <c r="G217">
        <v>365</v>
      </c>
      <c r="H217">
        <v>15</v>
      </c>
      <c r="I217">
        <v>765</v>
      </c>
      <c r="J217" s="8">
        <f>Table1[[#This Row],[PartyAVotes]]/Table1[[#This Row],[RegisteredVoters]]</f>
        <v>0.49358974358974361</v>
      </c>
      <c r="K217" s="8">
        <f>Table1[[#This Row],[PartyBVotes]]/Table1[[#This Row],[RegisteredVoters]]</f>
        <v>0.46794871794871795</v>
      </c>
      <c r="L217" s="8">
        <f>Table1[[#This Row],[PartyCVotes]]/Table1[[#This Row],[RegisteredVoters]]</f>
        <v>1.9230769230769232E-2</v>
      </c>
      <c r="M217">
        <f>ABS(Table1[[#This Row],[PartyAVotes]]-Table1[[#This Row],[PartyBVotes]])</f>
        <v>20</v>
      </c>
      <c r="N217" s="11">
        <f>Table1[[#This Row],[TotalVotesCast]]/Table1[[#This Row],[RegisteredVoters]]</f>
        <v>0.98076923076923073</v>
      </c>
      <c r="O217" t="str">
        <f>IF(Table1[[#This Row],[RegisteredVoters]]=Table1[[#This Row],[TotalVotesCast]],"Match","")</f>
        <v/>
      </c>
    </row>
    <row r="218" spans="1:15" ht="13.2">
      <c r="A218" s="1" t="s">
        <v>272</v>
      </c>
      <c r="B218" t="s">
        <v>18</v>
      </c>
      <c r="C218" t="s">
        <v>19</v>
      </c>
      <c r="D218" t="s">
        <v>227</v>
      </c>
      <c r="E218">
        <v>1050</v>
      </c>
      <c r="F218">
        <v>520</v>
      </c>
      <c r="G218">
        <v>495</v>
      </c>
      <c r="H218">
        <v>20</v>
      </c>
      <c r="I218">
        <v>1035</v>
      </c>
      <c r="J218" s="8">
        <f>Table1[[#This Row],[PartyAVotes]]/Table1[[#This Row],[RegisteredVoters]]</f>
        <v>0.49523809523809526</v>
      </c>
      <c r="K218" s="8">
        <f>Table1[[#This Row],[PartyBVotes]]/Table1[[#This Row],[RegisteredVoters]]</f>
        <v>0.47142857142857142</v>
      </c>
      <c r="L218" s="8">
        <f>Table1[[#This Row],[PartyCVotes]]/Table1[[#This Row],[RegisteredVoters]]</f>
        <v>1.9047619047619049E-2</v>
      </c>
      <c r="M218">
        <f>ABS(Table1[[#This Row],[PartyAVotes]]-Table1[[#This Row],[PartyBVotes]])</f>
        <v>25</v>
      </c>
      <c r="N218" s="11">
        <f>Table1[[#This Row],[TotalVotesCast]]/Table1[[#This Row],[RegisteredVoters]]</f>
        <v>0.98571428571428577</v>
      </c>
      <c r="O218" t="str">
        <f>IF(Table1[[#This Row],[RegisteredVoters]]=Table1[[#This Row],[TotalVotesCast]],"Match","")</f>
        <v/>
      </c>
    </row>
    <row r="219" spans="1:15" ht="13.2">
      <c r="A219" s="1" t="s">
        <v>273</v>
      </c>
      <c r="B219" t="s">
        <v>21</v>
      </c>
      <c r="C219" t="s">
        <v>23</v>
      </c>
      <c r="D219" t="s">
        <v>209</v>
      </c>
      <c r="E219">
        <v>1110</v>
      </c>
      <c r="F219">
        <v>550</v>
      </c>
      <c r="G219">
        <v>525</v>
      </c>
      <c r="H219">
        <v>20</v>
      </c>
      <c r="I219">
        <v>1095</v>
      </c>
      <c r="J219" s="8">
        <f>Table1[[#This Row],[PartyAVotes]]/Table1[[#This Row],[RegisteredVoters]]</f>
        <v>0.49549549549549549</v>
      </c>
      <c r="K219" s="8">
        <f>Table1[[#This Row],[PartyBVotes]]/Table1[[#This Row],[RegisteredVoters]]</f>
        <v>0.47297297297297297</v>
      </c>
      <c r="L219" s="8">
        <f>Table1[[#This Row],[PartyCVotes]]/Table1[[#This Row],[RegisteredVoters]]</f>
        <v>1.8018018018018018E-2</v>
      </c>
      <c r="M219">
        <f>ABS(Table1[[#This Row],[PartyAVotes]]-Table1[[#This Row],[PartyBVotes]])</f>
        <v>25</v>
      </c>
      <c r="N219" s="11">
        <f>Table1[[#This Row],[TotalVotesCast]]/Table1[[#This Row],[RegisteredVoters]]</f>
        <v>0.98648648648648651</v>
      </c>
      <c r="O219" t="str">
        <f>IF(Table1[[#This Row],[RegisteredVoters]]=Table1[[#This Row],[TotalVotesCast]],"Match","")</f>
        <v/>
      </c>
    </row>
    <row r="220" spans="1:15" ht="13.2">
      <c r="A220" s="1" t="s">
        <v>274</v>
      </c>
      <c r="B220" t="s">
        <v>10</v>
      </c>
      <c r="C220" t="s">
        <v>11</v>
      </c>
      <c r="D220" t="s">
        <v>245</v>
      </c>
      <c r="E220">
        <v>660</v>
      </c>
      <c r="F220">
        <v>320</v>
      </c>
      <c r="G220">
        <v>300</v>
      </c>
      <c r="H220">
        <v>15</v>
      </c>
      <c r="I220">
        <v>635</v>
      </c>
      <c r="J220" s="8">
        <f>Table1[[#This Row],[PartyAVotes]]/Table1[[#This Row],[RegisteredVoters]]</f>
        <v>0.48484848484848486</v>
      </c>
      <c r="K220" s="8">
        <f>Table1[[#This Row],[PartyBVotes]]/Table1[[#This Row],[RegisteredVoters]]</f>
        <v>0.45454545454545453</v>
      </c>
      <c r="L220" s="8">
        <f>Table1[[#This Row],[PartyCVotes]]/Table1[[#This Row],[RegisteredVoters]]</f>
        <v>2.2727272727272728E-2</v>
      </c>
      <c r="M220">
        <f>ABS(Table1[[#This Row],[PartyAVotes]]-Table1[[#This Row],[PartyBVotes]])</f>
        <v>20</v>
      </c>
      <c r="N220" s="11">
        <f>Table1[[#This Row],[TotalVotesCast]]/Table1[[#This Row],[RegisteredVoters]]</f>
        <v>0.96212121212121215</v>
      </c>
      <c r="O220" t="str">
        <f>IF(Table1[[#This Row],[RegisteredVoters]]=Table1[[#This Row],[TotalVotesCast]],"Match","")</f>
        <v/>
      </c>
    </row>
    <row r="221" spans="1:15" ht="13.2">
      <c r="A221" s="1" t="s">
        <v>275</v>
      </c>
      <c r="B221" t="s">
        <v>15</v>
      </c>
      <c r="C221" t="s">
        <v>16</v>
      </c>
      <c r="D221" t="s">
        <v>245</v>
      </c>
      <c r="E221">
        <v>950</v>
      </c>
      <c r="F221">
        <v>470</v>
      </c>
      <c r="G221">
        <v>450</v>
      </c>
      <c r="H221">
        <v>20</v>
      </c>
      <c r="I221">
        <v>940</v>
      </c>
      <c r="J221" s="8">
        <f>Table1[[#This Row],[PartyAVotes]]/Table1[[#This Row],[RegisteredVoters]]</f>
        <v>0.49473684210526314</v>
      </c>
      <c r="K221" s="8">
        <f>Table1[[#This Row],[PartyBVotes]]/Table1[[#This Row],[RegisteredVoters]]</f>
        <v>0.47368421052631576</v>
      </c>
      <c r="L221" s="8">
        <f>Table1[[#This Row],[PartyCVotes]]/Table1[[#This Row],[RegisteredVoters]]</f>
        <v>2.1052631578947368E-2</v>
      </c>
      <c r="M221">
        <f>ABS(Table1[[#This Row],[PartyAVotes]]-Table1[[#This Row],[PartyBVotes]])</f>
        <v>20</v>
      </c>
      <c r="N221" s="11">
        <f>Table1[[#This Row],[TotalVotesCast]]/Table1[[#This Row],[RegisteredVoters]]</f>
        <v>0.98947368421052628</v>
      </c>
      <c r="O221" t="str">
        <f>IF(Table1[[#This Row],[RegisteredVoters]]=Table1[[#This Row],[TotalVotesCast]],"Match","")</f>
        <v/>
      </c>
    </row>
    <row r="222" spans="1:15" ht="13.2">
      <c r="A222" s="1" t="s">
        <v>276</v>
      </c>
      <c r="B222" t="s">
        <v>18</v>
      </c>
      <c r="C222" t="s">
        <v>20</v>
      </c>
      <c r="D222" t="s">
        <v>277</v>
      </c>
      <c r="E222">
        <v>1020</v>
      </c>
      <c r="F222">
        <v>505</v>
      </c>
      <c r="G222">
        <v>485</v>
      </c>
      <c r="H222">
        <v>15</v>
      </c>
      <c r="I222">
        <v>1005</v>
      </c>
      <c r="J222" s="8">
        <f>Table1[[#This Row],[PartyAVotes]]/Table1[[#This Row],[RegisteredVoters]]</f>
        <v>0.49509803921568629</v>
      </c>
      <c r="K222" s="8">
        <f>Table1[[#This Row],[PartyBVotes]]/Table1[[#This Row],[RegisteredVoters]]</f>
        <v>0.47549019607843135</v>
      </c>
      <c r="L222" s="8">
        <f>Table1[[#This Row],[PartyCVotes]]/Table1[[#This Row],[RegisteredVoters]]</f>
        <v>1.4705882352941176E-2</v>
      </c>
      <c r="M222">
        <f>ABS(Table1[[#This Row],[PartyAVotes]]-Table1[[#This Row],[PartyBVotes]])</f>
        <v>20</v>
      </c>
      <c r="N222" s="11">
        <f>Table1[[#This Row],[TotalVotesCast]]/Table1[[#This Row],[RegisteredVoters]]</f>
        <v>0.98529411764705888</v>
      </c>
      <c r="O222" t="str">
        <f>IF(Table1[[#This Row],[RegisteredVoters]]=Table1[[#This Row],[TotalVotesCast]],"Match","")</f>
        <v/>
      </c>
    </row>
    <row r="223" spans="1:15" ht="13.2">
      <c r="A223" s="1" t="s">
        <v>278</v>
      </c>
      <c r="B223" t="s">
        <v>21</v>
      </c>
      <c r="C223" t="s">
        <v>22</v>
      </c>
      <c r="D223" t="s">
        <v>236</v>
      </c>
      <c r="E223">
        <v>1300</v>
      </c>
      <c r="F223">
        <v>635</v>
      </c>
      <c r="G223">
        <v>605</v>
      </c>
      <c r="H223">
        <v>25</v>
      </c>
      <c r="I223">
        <v>1265</v>
      </c>
      <c r="J223" s="8">
        <f>Table1[[#This Row],[PartyAVotes]]/Table1[[#This Row],[RegisteredVoters]]</f>
        <v>0.48846153846153845</v>
      </c>
      <c r="K223" s="8">
        <f>Table1[[#This Row],[PartyBVotes]]/Table1[[#This Row],[RegisteredVoters]]</f>
        <v>0.4653846153846154</v>
      </c>
      <c r="L223" s="8">
        <f>Table1[[#This Row],[PartyCVotes]]/Table1[[#This Row],[RegisteredVoters]]</f>
        <v>1.9230769230769232E-2</v>
      </c>
      <c r="M223">
        <f>ABS(Table1[[#This Row],[PartyAVotes]]-Table1[[#This Row],[PartyBVotes]])</f>
        <v>30</v>
      </c>
      <c r="N223" s="11">
        <f>Table1[[#This Row],[TotalVotesCast]]/Table1[[#This Row],[RegisteredVoters]]</f>
        <v>0.97307692307692306</v>
      </c>
      <c r="O223" t="str">
        <f>IF(Table1[[#This Row],[RegisteredVoters]]=Table1[[#This Row],[TotalVotesCast]],"Match","")</f>
        <v/>
      </c>
    </row>
    <row r="224" spans="1:15" ht="13.2">
      <c r="A224" s="1" t="s">
        <v>279</v>
      </c>
      <c r="B224" t="s">
        <v>10</v>
      </c>
      <c r="C224" t="s">
        <v>14</v>
      </c>
      <c r="D224" t="s">
        <v>227</v>
      </c>
      <c r="E224">
        <v>730</v>
      </c>
      <c r="F224">
        <v>360</v>
      </c>
      <c r="G224">
        <v>340</v>
      </c>
      <c r="H224">
        <v>15</v>
      </c>
      <c r="I224">
        <v>715</v>
      </c>
      <c r="J224" s="8">
        <f>Table1[[#This Row],[PartyAVotes]]/Table1[[#This Row],[RegisteredVoters]]</f>
        <v>0.49315068493150682</v>
      </c>
      <c r="K224" s="8">
        <f>Table1[[#This Row],[PartyBVotes]]/Table1[[#This Row],[RegisteredVoters]]</f>
        <v>0.46575342465753422</v>
      </c>
      <c r="L224" s="8">
        <f>Table1[[#This Row],[PartyCVotes]]/Table1[[#This Row],[RegisteredVoters]]</f>
        <v>2.0547945205479451E-2</v>
      </c>
      <c r="M224">
        <f>ABS(Table1[[#This Row],[PartyAVotes]]-Table1[[#This Row],[PartyBVotes]])</f>
        <v>20</v>
      </c>
      <c r="N224" s="11">
        <f>Table1[[#This Row],[TotalVotesCast]]/Table1[[#This Row],[RegisteredVoters]]</f>
        <v>0.97945205479452058</v>
      </c>
      <c r="O224" t="str">
        <f>IF(Table1[[#This Row],[RegisteredVoters]]=Table1[[#This Row],[TotalVotesCast]],"Match","")</f>
        <v/>
      </c>
    </row>
    <row r="225" spans="1:15" ht="13.2">
      <c r="A225" s="1" t="s">
        <v>280</v>
      </c>
      <c r="B225" t="s">
        <v>15</v>
      </c>
      <c r="C225" t="s">
        <v>17</v>
      </c>
      <c r="D225" t="s">
        <v>209</v>
      </c>
      <c r="E225">
        <v>790</v>
      </c>
      <c r="F225">
        <v>390</v>
      </c>
      <c r="G225">
        <v>370</v>
      </c>
      <c r="H225">
        <v>15</v>
      </c>
      <c r="I225">
        <v>775</v>
      </c>
      <c r="J225" s="8">
        <f>Table1[[#This Row],[PartyAVotes]]/Table1[[#This Row],[RegisteredVoters]]</f>
        <v>0.49367088607594939</v>
      </c>
      <c r="K225" s="8">
        <f>Table1[[#This Row],[PartyBVotes]]/Table1[[#This Row],[RegisteredVoters]]</f>
        <v>0.46835443037974683</v>
      </c>
      <c r="L225" s="8">
        <f>Table1[[#This Row],[PartyCVotes]]/Table1[[#This Row],[RegisteredVoters]]</f>
        <v>1.8987341772151899E-2</v>
      </c>
      <c r="M225">
        <f>ABS(Table1[[#This Row],[PartyAVotes]]-Table1[[#This Row],[PartyBVotes]])</f>
        <v>20</v>
      </c>
      <c r="N225" s="11">
        <f>Table1[[#This Row],[TotalVotesCast]]/Table1[[#This Row],[RegisteredVoters]]</f>
        <v>0.98101265822784811</v>
      </c>
      <c r="O225" t="str">
        <f>IF(Table1[[#This Row],[RegisteredVoters]]=Table1[[#This Row],[TotalVotesCast]],"Match","")</f>
        <v/>
      </c>
    </row>
    <row r="226" spans="1:15" ht="13.2">
      <c r="A226" s="1" t="s">
        <v>281</v>
      </c>
      <c r="B226" t="s">
        <v>18</v>
      </c>
      <c r="C226" t="s">
        <v>19</v>
      </c>
      <c r="D226" t="s">
        <v>236</v>
      </c>
      <c r="E226">
        <v>1060</v>
      </c>
      <c r="F226">
        <v>525</v>
      </c>
      <c r="G226">
        <v>500</v>
      </c>
      <c r="H226">
        <v>20</v>
      </c>
      <c r="I226">
        <v>1045</v>
      </c>
      <c r="J226" s="8">
        <f>Table1[[#This Row],[PartyAVotes]]/Table1[[#This Row],[RegisteredVoters]]</f>
        <v>0.49528301886792453</v>
      </c>
      <c r="K226" s="8">
        <f>Table1[[#This Row],[PartyBVotes]]/Table1[[#This Row],[RegisteredVoters]]</f>
        <v>0.47169811320754718</v>
      </c>
      <c r="L226" s="8">
        <f>Table1[[#This Row],[PartyCVotes]]/Table1[[#This Row],[RegisteredVoters]]</f>
        <v>1.8867924528301886E-2</v>
      </c>
      <c r="M226">
        <f>ABS(Table1[[#This Row],[PartyAVotes]]-Table1[[#This Row],[PartyBVotes]])</f>
        <v>25</v>
      </c>
      <c r="N226" s="11">
        <f>Table1[[#This Row],[TotalVotesCast]]/Table1[[#This Row],[RegisteredVoters]]</f>
        <v>0.98584905660377353</v>
      </c>
      <c r="O226" t="str">
        <f>IF(Table1[[#This Row],[RegisteredVoters]]=Table1[[#This Row],[TotalVotesCast]],"Match","")</f>
        <v/>
      </c>
    </row>
    <row r="227" spans="1:15" ht="13.2">
      <c r="A227" s="1" t="s">
        <v>282</v>
      </c>
      <c r="B227" t="s">
        <v>21</v>
      </c>
      <c r="C227" t="s">
        <v>23</v>
      </c>
      <c r="D227" t="s">
        <v>218</v>
      </c>
      <c r="E227">
        <v>1120</v>
      </c>
      <c r="F227">
        <v>555</v>
      </c>
      <c r="G227">
        <v>530</v>
      </c>
      <c r="H227">
        <v>20</v>
      </c>
      <c r="I227">
        <v>1105</v>
      </c>
      <c r="J227" s="8">
        <f>Table1[[#This Row],[PartyAVotes]]/Table1[[#This Row],[RegisteredVoters]]</f>
        <v>0.4955357142857143</v>
      </c>
      <c r="K227" s="8">
        <f>Table1[[#This Row],[PartyBVotes]]/Table1[[#This Row],[RegisteredVoters]]</f>
        <v>0.4732142857142857</v>
      </c>
      <c r="L227" s="8">
        <f>Table1[[#This Row],[PartyCVotes]]/Table1[[#This Row],[RegisteredVoters]]</f>
        <v>1.7857142857142856E-2</v>
      </c>
      <c r="M227">
        <f>ABS(Table1[[#This Row],[PartyAVotes]]-Table1[[#This Row],[PartyBVotes]])</f>
        <v>25</v>
      </c>
      <c r="N227" s="11">
        <f>Table1[[#This Row],[TotalVotesCast]]/Table1[[#This Row],[RegisteredVoters]]</f>
        <v>0.9866071428571429</v>
      </c>
      <c r="O227" t="str">
        <f>IF(Table1[[#This Row],[RegisteredVoters]]=Table1[[#This Row],[TotalVotesCast]],"Match","")</f>
        <v/>
      </c>
    </row>
    <row r="228" spans="1:15" ht="13.2">
      <c r="A228" s="1" t="s">
        <v>283</v>
      </c>
      <c r="B228" t="s">
        <v>10</v>
      </c>
      <c r="C228" t="s">
        <v>11</v>
      </c>
      <c r="D228" t="s">
        <v>254</v>
      </c>
      <c r="E228">
        <v>670</v>
      </c>
      <c r="F228">
        <v>325</v>
      </c>
      <c r="G228">
        <v>305</v>
      </c>
      <c r="H228">
        <v>15</v>
      </c>
      <c r="I228">
        <v>645</v>
      </c>
      <c r="J228" s="8">
        <f>Table1[[#This Row],[PartyAVotes]]/Table1[[#This Row],[RegisteredVoters]]</f>
        <v>0.48507462686567165</v>
      </c>
      <c r="K228" s="8">
        <f>Table1[[#This Row],[PartyBVotes]]/Table1[[#This Row],[RegisteredVoters]]</f>
        <v>0.45522388059701491</v>
      </c>
      <c r="L228" s="8">
        <f>Table1[[#This Row],[PartyCVotes]]/Table1[[#This Row],[RegisteredVoters]]</f>
        <v>2.2388059701492536E-2</v>
      </c>
      <c r="M228">
        <f>ABS(Table1[[#This Row],[PartyAVotes]]-Table1[[#This Row],[PartyBVotes]])</f>
        <v>20</v>
      </c>
      <c r="N228" s="11">
        <f>Table1[[#This Row],[TotalVotesCast]]/Table1[[#This Row],[RegisteredVoters]]</f>
        <v>0.96268656716417911</v>
      </c>
      <c r="O228" t="str">
        <f>IF(Table1[[#This Row],[RegisteredVoters]]=Table1[[#This Row],[TotalVotesCast]],"Match","")</f>
        <v/>
      </c>
    </row>
    <row r="229" spans="1:15" ht="13.2">
      <c r="A229" s="1" t="s">
        <v>284</v>
      </c>
      <c r="B229" t="s">
        <v>15</v>
      </c>
      <c r="C229" t="s">
        <v>16</v>
      </c>
      <c r="D229" t="s">
        <v>254</v>
      </c>
      <c r="E229">
        <v>960</v>
      </c>
      <c r="F229">
        <v>475</v>
      </c>
      <c r="G229">
        <v>455</v>
      </c>
      <c r="H229">
        <v>20</v>
      </c>
      <c r="I229">
        <v>950</v>
      </c>
      <c r="J229" s="8">
        <f>Table1[[#This Row],[PartyAVotes]]/Table1[[#This Row],[RegisteredVoters]]</f>
        <v>0.49479166666666669</v>
      </c>
      <c r="K229" s="8">
        <f>Table1[[#This Row],[PartyBVotes]]/Table1[[#This Row],[RegisteredVoters]]</f>
        <v>0.47395833333333331</v>
      </c>
      <c r="L229" s="8">
        <f>Table1[[#This Row],[PartyCVotes]]/Table1[[#This Row],[RegisteredVoters]]</f>
        <v>2.0833333333333332E-2</v>
      </c>
      <c r="M229">
        <f>ABS(Table1[[#This Row],[PartyAVotes]]-Table1[[#This Row],[PartyBVotes]])</f>
        <v>20</v>
      </c>
      <c r="N229" s="11">
        <f>Table1[[#This Row],[TotalVotesCast]]/Table1[[#This Row],[RegisteredVoters]]</f>
        <v>0.98958333333333337</v>
      </c>
      <c r="O229" t="str">
        <f>IF(Table1[[#This Row],[RegisteredVoters]]=Table1[[#This Row],[TotalVotesCast]],"Match","")</f>
        <v/>
      </c>
    </row>
    <row r="230" spans="1:15" ht="13.2">
      <c r="A230" s="1" t="s">
        <v>285</v>
      </c>
      <c r="B230" t="s">
        <v>18</v>
      </c>
      <c r="C230" t="s">
        <v>20</v>
      </c>
      <c r="D230" t="s">
        <v>286</v>
      </c>
      <c r="E230">
        <v>1030</v>
      </c>
      <c r="F230">
        <v>510</v>
      </c>
      <c r="G230">
        <v>490</v>
      </c>
      <c r="H230">
        <v>15</v>
      </c>
      <c r="I230">
        <v>1015</v>
      </c>
      <c r="J230" s="8">
        <f>Table1[[#This Row],[PartyAVotes]]/Table1[[#This Row],[RegisteredVoters]]</f>
        <v>0.49514563106796117</v>
      </c>
      <c r="K230" s="8">
        <f>Table1[[#This Row],[PartyBVotes]]/Table1[[#This Row],[RegisteredVoters]]</f>
        <v>0.47572815533980584</v>
      </c>
      <c r="L230" s="8">
        <f>Table1[[#This Row],[PartyCVotes]]/Table1[[#This Row],[RegisteredVoters]]</f>
        <v>1.4563106796116505E-2</v>
      </c>
      <c r="M230">
        <f>ABS(Table1[[#This Row],[PartyAVotes]]-Table1[[#This Row],[PartyBVotes]])</f>
        <v>20</v>
      </c>
      <c r="N230" s="11">
        <f>Table1[[#This Row],[TotalVotesCast]]/Table1[[#This Row],[RegisteredVoters]]</f>
        <v>0.9854368932038835</v>
      </c>
      <c r="O230" t="str">
        <f>IF(Table1[[#This Row],[RegisteredVoters]]=Table1[[#This Row],[TotalVotesCast]],"Match","")</f>
        <v/>
      </c>
    </row>
    <row r="231" spans="1:15" ht="13.2">
      <c r="A231" s="1" t="s">
        <v>287</v>
      </c>
      <c r="B231" t="s">
        <v>21</v>
      </c>
      <c r="C231" t="s">
        <v>22</v>
      </c>
      <c r="D231" t="s">
        <v>245</v>
      </c>
      <c r="E231">
        <v>1310</v>
      </c>
      <c r="F231">
        <v>640</v>
      </c>
      <c r="G231">
        <v>610</v>
      </c>
      <c r="H231">
        <v>25</v>
      </c>
      <c r="I231">
        <v>1275</v>
      </c>
      <c r="J231" s="8">
        <f>Table1[[#This Row],[PartyAVotes]]/Table1[[#This Row],[RegisteredVoters]]</f>
        <v>0.48854961832061067</v>
      </c>
      <c r="K231" s="8">
        <f>Table1[[#This Row],[PartyBVotes]]/Table1[[#This Row],[RegisteredVoters]]</f>
        <v>0.46564885496183206</v>
      </c>
      <c r="L231" s="8">
        <f>Table1[[#This Row],[PartyCVotes]]/Table1[[#This Row],[RegisteredVoters]]</f>
        <v>1.9083969465648856E-2</v>
      </c>
      <c r="M231">
        <f>ABS(Table1[[#This Row],[PartyAVotes]]-Table1[[#This Row],[PartyBVotes]])</f>
        <v>30</v>
      </c>
      <c r="N231" s="11">
        <f>Table1[[#This Row],[TotalVotesCast]]/Table1[[#This Row],[RegisteredVoters]]</f>
        <v>0.97328244274809161</v>
      </c>
      <c r="O231" t="str">
        <f>IF(Table1[[#This Row],[RegisteredVoters]]=Table1[[#This Row],[TotalVotesCast]],"Match","")</f>
        <v/>
      </c>
    </row>
    <row r="232" spans="1:15" ht="13.2">
      <c r="A232" s="1" t="s">
        <v>288</v>
      </c>
      <c r="B232" t="s">
        <v>10</v>
      </c>
      <c r="C232" t="s">
        <v>14</v>
      </c>
      <c r="D232" t="s">
        <v>236</v>
      </c>
      <c r="E232">
        <v>740</v>
      </c>
      <c r="F232">
        <v>365</v>
      </c>
      <c r="G232">
        <v>345</v>
      </c>
      <c r="H232">
        <v>15</v>
      </c>
      <c r="I232">
        <v>725</v>
      </c>
      <c r="J232" s="8">
        <f>Table1[[#This Row],[PartyAVotes]]/Table1[[#This Row],[RegisteredVoters]]</f>
        <v>0.49324324324324326</v>
      </c>
      <c r="K232" s="8">
        <f>Table1[[#This Row],[PartyBVotes]]/Table1[[#This Row],[RegisteredVoters]]</f>
        <v>0.46621621621621623</v>
      </c>
      <c r="L232" s="8">
        <f>Table1[[#This Row],[PartyCVotes]]/Table1[[#This Row],[RegisteredVoters]]</f>
        <v>2.0270270270270271E-2</v>
      </c>
      <c r="M232">
        <f>ABS(Table1[[#This Row],[PartyAVotes]]-Table1[[#This Row],[PartyBVotes]])</f>
        <v>20</v>
      </c>
      <c r="N232" s="11">
        <f>Table1[[#This Row],[TotalVotesCast]]/Table1[[#This Row],[RegisteredVoters]]</f>
        <v>0.97972972972972971</v>
      </c>
      <c r="O232" t="str">
        <f>IF(Table1[[#This Row],[RegisteredVoters]]=Table1[[#This Row],[TotalVotesCast]],"Match","")</f>
        <v/>
      </c>
    </row>
    <row r="233" spans="1:15" ht="13.2">
      <c r="A233" s="1" t="s">
        <v>289</v>
      </c>
      <c r="B233" t="s">
        <v>15</v>
      </c>
      <c r="C233" t="s">
        <v>17</v>
      </c>
      <c r="D233" t="s">
        <v>218</v>
      </c>
      <c r="E233">
        <v>800</v>
      </c>
      <c r="F233">
        <v>395</v>
      </c>
      <c r="G233">
        <v>375</v>
      </c>
      <c r="H233">
        <v>15</v>
      </c>
      <c r="I233">
        <v>785</v>
      </c>
      <c r="J233" s="8">
        <f>Table1[[#This Row],[PartyAVotes]]/Table1[[#This Row],[RegisteredVoters]]</f>
        <v>0.49375000000000002</v>
      </c>
      <c r="K233" s="8">
        <f>Table1[[#This Row],[PartyBVotes]]/Table1[[#This Row],[RegisteredVoters]]</f>
        <v>0.46875</v>
      </c>
      <c r="L233" s="8">
        <f>Table1[[#This Row],[PartyCVotes]]/Table1[[#This Row],[RegisteredVoters]]</f>
        <v>1.8749999999999999E-2</v>
      </c>
      <c r="M233">
        <f>ABS(Table1[[#This Row],[PartyAVotes]]-Table1[[#This Row],[PartyBVotes]])</f>
        <v>20</v>
      </c>
      <c r="N233" s="11">
        <f>Table1[[#This Row],[TotalVotesCast]]/Table1[[#This Row],[RegisteredVoters]]</f>
        <v>0.98124999999999996</v>
      </c>
      <c r="O233" t="str">
        <f>IF(Table1[[#This Row],[RegisteredVoters]]=Table1[[#This Row],[TotalVotesCast]],"Match","")</f>
        <v/>
      </c>
    </row>
    <row r="234" spans="1:15" ht="13.2">
      <c r="A234" s="1" t="s">
        <v>290</v>
      </c>
      <c r="B234" t="s">
        <v>18</v>
      </c>
      <c r="C234" t="s">
        <v>19</v>
      </c>
      <c r="D234" t="s">
        <v>245</v>
      </c>
      <c r="E234">
        <v>1070</v>
      </c>
      <c r="F234">
        <v>530</v>
      </c>
      <c r="G234">
        <v>505</v>
      </c>
      <c r="H234">
        <v>20</v>
      </c>
      <c r="I234">
        <v>1055</v>
      </c>
      <c r="J234" s="8">
        <f>Table1[[#This Row],[PartyAVotes]]/Table1[[#This Row],[RegisteredVoters]]</f>
        <v>0.49532710280373832</v>
      </c>
      <c r="K234" s="8">
        <f>Table1[[#This Row],[PartyBVotes]]/Table1[[#This Row],[RegisteredVoters]]</f>
        <v>0.4719626168224299</v>
      </c>
      <c r="L234" s="8">
        <f>Table1[[#This Row],[PartyCVotes]]/Table1[[#This Row],[RegisteredVoters]]</f>
        <v>1.8691588785046728E-2</v>
      </c>
      <c r="M234">
        <f>ABS(Table1[[#This Row],[PartyAVotes]]-Table1[[#This Row],[PartyBVotes]])</f>
        <v>25</v>
      </c>
      <c r="N234" s="11">
        <f>Table1[[#This Row],[TotalVotesCast]]/Table1[[#This Row],[RegisteredVoters]]</f>
        <v>0.98598130841121501</v>
      </c>
      <c r="O234" t="str">
        <f>IF(Table1[[#This Row],[RegisteredVoters]]=Table1[[#This Row],[TotalVotesCast]],"Match","")</f>
        <v/>
      </c>
    </row>
    <row r="235" spans="1:15" ht="13.2">
      <c r="A235" s="1" t="s">
        <v>291</v>
      </c>
      <c r="B235" t="s">
        <v>21</v>
      </c>
      <c r="C235" t="s">
        <v>23</v>
      </c>
      <c r="D235" t="s">
        <v>227</v>
      </c>
      <c r="E235">
        <v>1130</v>
      </c>
      <c r="F235">
        <v>560</v>
      </c>
      <c r="G235">
        <v>535</v>
      </c>
      <c r="H235">
        <v>20</v>
      </c>
      <c r="I235">
        <v>1115</v>
      </c>
      <c r="J235" s="8">
        <f>Table1[[#This Row],[PartyAVotes]]/Table1[[#This Row],[RegisteredVoters]]</f>
        <v>0.49557522123893805</v>
      </c>
      <c r="K235" s="8">
        <f>Table1[[#This Row],[PartyBVotes]]/Table1[[#This Row],[RegisteredVoters]]</f>
        <v>0.47345132743362833</v>
      </c>
      <c r="L235" s="8">
        <f>Table1[[#This Row],[PartyCVotes]]/Table1[[#This Row],[RegisteredVoters]]</f>
        <v>1.7699115044247787E-2</v>
      </c>
      <c r="M235">
        <f>ABS(Table1[[#This Row],[PartyAVotes]]-Table1[[#This Row],[PartyBVotes]])</f>
        <v>25</v>
      </c>
      <c r="N235" s="11">
        <f>Table1[[#This Row],[TotalVotesCast]]/Table1[[#This Row],[RegisteredVoters]]</f>
        <v>0.98672566371681414</v>
      </c>
      <c r="O235" t="str">
        <f>IF(Table1[[#This Row],[RegisteredVoters]]=Table1[[#This Row],[TotalVotesCast]],"Match","")</f>
        <v/>
      </c>
    </row>
    <row r="236" spans="1:15" ht="13.2">
      <c r="A236" s="1" t="s">
        <v>292</v>
      </c>
      <c r="B236" t="s">
        <v>10</v>
      </c>
      <c r="C236" t="s">
        <v>11</v>
      </c>
      <c r="D236" t="s">
        <v>259</v>
      </c>
      <c r="E236">
        <v>680</v>
      </c>
      <c r="F236">
        <v>330</v>
      </c>
      <c r="G236">
        <v>310</v>
      </c>
      <c r="H236">
        <v>15</v>
      </c>
      <c r="I236">
        <v>655</v>
      </c>
      <c r="J236" s="8">
        <f>Table1[[#This Row],[PartyAVotes]]/Table1[[#This Row],[RegisteredVoters]]</f>
        <v>0.48529411764705882</v>
      </c>
      <c r="K236" s="8">
        <f>Table1[[#This Row],[PartyBVotes]]/Table1[[#This Row],[RegisteredVoters]]</f>
        <v>0.45588235294117646</v>
      </c>
      <c r="L236" s="8">
        <f>Table1[[#This Row],[PartyCVotes]]/Table1[[#This Row],[RegisteredVoters]]</f>
        <v>2.2058823529411766E-2</v>
      </c>
      <c r="M236">
        <f>ABS(Table1[[#This Row],[PartyAVotes]]-Table1[[#This Row],[PartyBVotes]])</f>
        <v>20</v>
      </c>
      <c r="N236" s="11">
        <f>Table1[[#This Row],[TotalVotesCast]]/Table1[[#This Row],[RegisteredVoters]]</f>
        <v>0.96323529411764708</v>
      </c>
      <c r="O236" t="str">
        <f>IF(Table1[[#This Row],[RegisteredVoters]]=Table1[[#This Row],[TotalVotesCast]],"Match","")</f>
        <v/>
      </c>
    </row>
    <row r="237" spans="1:15" ht="13.2">
      <c r="A237" s="1" t="s">
        <v>293</v>
      </c>
      <c r="B237" t="s">
        <v>15</v>
      </c>
      <c r="C237" t="s">
        <v>16</v>
      </c>
      <c r="D237" t="s">
        <v>259</v>
      </c>
      <c r="E237">
        <v>970</v>
      </c>
      <c r="F237">
        <v>480</v>
      </c>
      <c r="G237">
        <v>460</v>
      </c>
      <c r="H237">
        <v>20</v>
      </c>
      <c r="I237">
        <v>960</v>
      </c>
      <c r="J237" s="8">
        <f>Table1[[#This Row],[PartyAVotes]]/Table1[[#This Row],[RegisteredVoters]]</f>
        <v>0.49484536082474229</v>
      </c>
      <c r="K237" s="8">
        <f>Table1[[#This Row],[PartyBVotes]]/Table1[[#This Row],[RegisteredVoters]]</f>
        <v>0.47422680412371132</v>
      </c>
      <c r="L237" s="8">
        <f>Table1[[#This Row],[PartyCVotes]]/Table1[[#This Row],[RegisteredVoters]]</f>
        <v>2.0618556701030927E-2</v>
      </c>
      <c r="M237">
        <f>ABS(Table1[[#This Row],[PartyAVotes]]-Table1[[#This Row],[PartyBVotes]])</f>
        <v>20</v>
      </c>
      <c r="N237" s="11">
        <f>Table1[[#This Row],[TotalVotesCast]]/Table1[[#This Row],[RegisteredVoters]]</f>
        <v>0.98969072164948457</v>
      </c>
      <c r="O237" t="str">
        <f>IF(Table1[[#This Row],[RegisteredVoters]]=Table1[[#This Row],[TotalVotesCast]],"Match","")</f>
        <v/>
      </c>
    </row>
    <row r="238" spans="1:15" ht="13.2">
      <c r="A238" s="1" t="s">
        <v>294</v>
      </c>
      <c r="B238" t="s">
        <v>18</v>
      </c>
      <c r="C238" t="s">
        <v>20</v>
      </c>
      <c r="D238" t="s">
        <v>295</v>
      </c>
      <c r="E238">
        <v>1040</v>
      </c>
      <c r="F238">
        <v>515</v>
      </c>
      <c r="G238">
        <v>495</v>
      </c>
      <c r="H238">
        <v>15</v>
      </c>
      <c r="I238">
        <v>1025</v>
      </c>
      <c r="J238" s="8">
        <f>Table1[[#This Row],[PartyAVotes]]/Table1[[#This Row],[RegisteredVoters]]</f>
        <v>0.49519230769230771</v>
      </c>
      <c r="K238" s="8">
        <f>Table1[[#This Row],[PartyBVotes]]/Table1[[#This Row],[RegisteredVoters]]</f>
        <v>0.47596153846153844</v>
      </c>
      <c r="L238" s="8">
        <f>Table1[[#This Row],[PartyCVotes]]/Table1[[#This Row],[RegisteredVoters]]</f>
        <v>1.4423076923076924E-2</v>
      </c>
      <c r="M238">
        <f>ABS(Table1[[#This Row],[PartyAVotes]]-Table1[[#This Row],[PartyBVotes]])</f>
        <v>20</v>
      </c>
      <c r="N238" s="11">
        <f>Table1[[#This Row],[TotalVotesCast]]/Table1[[#This Row],[RegisteredVoters]]</f>
        <v>0.98557692307692313</v>
      </c>
      <c r="O238" t="str">
        <f>IF(Table1[[#This Row],[RegisteredVoters]]=Table1[[#This Row],[TotalVotesCast]],"Match","")</f>
        <v/>
      </c>
    </row>
    <row r="239" spans="1:15" ht="13.2">
      <c r="A239" s="1" t="s">
        <v>296</v>
      </c>
      <c r="B239" t="s">
        <v>21</v>
      </c>
      <c r="C239" t="s">
        <v>22</v>
      </c>
      <c r="D239" t="s">
        <v>254</v>
      </c>
      <c r="E239">
        <v>1320</v>
      </c>
      <c r="F239">
        <v>645</v>
      </c>
      <c r="G239">
        <v>615</v>
      </c>
      <c r="H239">
        <v>25</v>
      </c>
      <c r="I239">
        <v>1285</v>
      </c>
      <c r="J239" s="8">
        <f>Table1[[#This Row],[PartyAVotes]]/Table1[[#This Row],[RegisteredVoters]]</f>
        <v>0.48863636363636365</v>
      </c>
      <c r="K239" s="8">
        <f>Table1[[#This Row],[PartyBVotes]]/Table1[[#This Row],[RegisteredVoters]]</f>
        <v>0.46590909090909088</v>
      </c>
      <c r="L239" s="8">
        <f>Table1[[#This Row],[PartyCVotes]]/Table1[[#This Row],[RegisteredVoters]]</f>
        <v>1.893939393939394E-2</v>
      </c>
      <c r="M239">
        <f>ABS(Table1[[#This Row],[PartyAVotes]]-Table1[[#This Row],[PartyBVotes]])</f>
        <v>30</v>
      </c>
      <c r="N239" s="11">
        <f>Table1[[#This Row],[TotalVotesCast]]/Table1[[#This Row],[RegisteredVoters]]</f>
        <v>0.97348484848484851</v>
      </c>
      <c r="O239" t="str">
        <f>IF(Table1[[#This Row],[RegisteredVoters]]=Table1[[#This Row],[TotalVotesCast]],"Match","")</f>
        <v/>
      </c>
    </row>
    <row r="240" spans="1:15" ht="13.2">
      <c r="A240" s="1" t="s">
        <v>297</v>
      </c>
      <c r="B240" t="s">
        <v>10</v>
      </c>
      <c r="C240" t="s">
        <v>14</v>
      </c>
      <c r="D240" t="s">
        <v>245</v>
      </c>
      <c r="E240">
        <v>750</v>
      </c>
      <c r="F240">
        <v>370</v>
      </c>
      <c r="G240">
        <v>350</v>
      </c>
      <c r="H240">
        <v>15</v>
      </c>
      <c r="I240">
        <v>735</v>
      </c>
      <c r="J240" s="8">
        <f>Table1[[#This Row],[PartyAVotes]]/Table1[[#This Row],[RegisteredVoters]]</f>
        <v>0.49333333333333335</v>
      </c>
      <c r="K240" s="8">
        <f>Table1[[#This Row],[PartyBVotes]]/Table1[[#This Row],[RegisteredVoters]]</f>
        <v>0.46666666666666667</v>
      </c>
      <c r="L240" s="8">
        <f>Table1[[#This Row],[PartyCVotes]]/Table1[[#This Row],[RegisteredVoters]]</f>
        <v>0.02</v>
      </c>
      <c r="M240">
        <f>ABS(Table1[[#This Row],[PartyAVotes]]-Table1[[#This Row],[PartyBVotes]])</f>
        <v>20</v>
      </c>
      <c r="N240" s="11">
        <f>Table1[[#This Row],[TotalVotesCast]]/Table1[[#This Row],[RegisteredVoters]]</f>
        <v>0.98</v>
      </c>
      <c r="O240" t="str">
        <f>IF(Table1[[#This Row],[RegisteredVoters]]=Table1[[#This Row],[TotalVotesCast]],"Match","")</f>
        <v/>
      </c>
    </row>
    <row r="241" spans="1:15" ht="13.2">
      <c r="A241" s="1" t="s">
        <v>298</v>
      </c>
      <c r="B241" t="s">
        <v>15</v>
      </c>
      <c r="C241" t="s">
        <v>17</v>
      </c>
      <c r="D241" t="s">
        <v>227</v>
      </c>
      <c r="E241">
        <v>810</v>
      </c>
      <c r="F241">
        <v>400</v>
      </c>
      <c r="G241">
        <v>380</v>
      </c>
      <c r="H241">
        <v>15</v>
      </c>
      <c r="I241">
        <v>795</v>
      </c>
      <c r="J241" s="8">
        <f>Table1[[#This Row],[PartyAVotes]]/Table1[[#This Row],[RegisteredVoters]]</f>
        <v>0.49382716049382713</v>
      </c>
      <c r="K241" s="8">
        <f>Table1[[#This Row],[PartyBVotes]]/Table1[[#This Row],[RegisteredVoters]]</f>
        <v>0.46913580246913578</v>
      </c>
      <c r="L241" s="8">
        <f>Table1[[#This Row],[PartyCVotes]]/Table1[[#This Row],[RegisteredVoters]]</f>
        <v>1.8518518518518517E-2</v>
      </c>
      <c r="M241">
        <f>ABS(Table1[[#This Row],[PartyAVotes]]-Table1[[#This Row],[PartyBVotes]])</f>
        <v>20</v>
      </c>
      <c r="N241" s="11">
        <f>Table1[[#This Row],[TotalVotesCast]]/Table1[[#This Row],[RegisteredVoters]]</f>
        <v>0.98148148148148151</v>
      </c>
      <c r="O241" t="str">
        <f>IF(Table1[[#This Row],[RegisteredVoters]]=Table1[[#This Row],[TotalVotesCast]],"Match","")</f>
        <v/>
      </c>
    </row>
    <row r="242" spans="1:15" ht="13.2">
      <c r="A242" s="1" t="s">
        <v>299</v>
      </c>
      <c r="B242" t="s">
        <v>18</v>
      </c>
      <c r="C242" t="s">
        <v>19</v>
      </c>
      <c r="D242" t="s">
        <v>254</v>
      </c>
      <c r="E242">
        <v>1080</v>
      </c>
      <c r="F242">
        <v>535</v>
      </c>
      <c r="G242">
        <v>510</v>
      </c>
      <c r="H242">
        <v>20</v>
      </c>
      <c r="I242">
        <v>1065</v>
      </c>
      <c r="J242" s="8">
        <f>Table1[[#This Row],[PartyAVotes]]/Table1[[#This Row],[RegisteredVoters]]</f>
        <v>0.49537037037037035</v>
      </c>
      <c r="K242" s="8">
        <f>Table1[[#This Row],[PartyBVotes]]/Table1[[#This Row],[RegisteredVoters]]</f>
        <v>0.47222222222222221</v>
      </c>
      <c r="L242" s="8">
        <f>Table1[[#This Row],[PartyCVotes]]/Table1[[#This Row],[RegisteredVoters]]</f>
        <v>1.8518518518518517E-2</v>
      </c>
      <c r="M242">
        <f>ABS(Table1[[#This Row],[PartyAVotes]]-Table1[[#This Row],[PartyBVotes]])</f>
        <v>25</v>
      </c>
      <c r="N242" s="11">
        <f>Table1[[#This Row],[TotalVotesCast]]/Table1[[#This Row],[RegisteredVoters]]</f>
        <v>0.98611111111111116</v>
      </c>
      <c r="O242" t="str">
        <f>IF(Table1[[#This Row],[RegisteredVoters]]=Table1[[#This Row],[TotalVotesCast]],"Match","")</f>
        <v/>
      </c>
    </row>
    <row r="243" spans="1:15" ht="13.2">
      <c r="A243" s="1" t="s">
        <v>300</v>
      </c>
      <c r="B243" t="s">
        <v>21</v>
      </c>
      <c r="C243" t="s">
        <v>23</v>
      </c>
      <c r="D243" t="s">
        <v>236</v>
      </c>
      <c r="E243">
        <v>1140</v>
      </c>
      <c r="F243">
        <v>565</v>
      </c>
      <c r="G243">
        <v>540</v>
      </c>
      <c r="H243">
        <v>20</v>
      </c>
      <c r="I243">
        <v>1125</v>
      </c>
      <c r="J243" s="8">
        <f>Table1[[#This Row],[PartyAVotes]]/Table1[[#This Row],[RegisteredVoters]]</f>
        <v>0.49561403508771928</v>
      </c>
      <c r="K243" s="8">
        <f>Table1[[#This Row],[PartyBVotes]]/Table1[[#This Row],[RegisteredVoters]]</f>
        <v>0.47368421052631576</v>
      </c>
      <c r="L243" s="8">
        <f>Table1[[#This Row],[PartyCVotes]]/Table1[[#This Row],[RegisteredVoters]]</f>
        <v>1.7543859649122806E-2</v>
      </c>
      <c r="M243">
        <f>ABS(Table1[[#This Row],[PartyAVotes]]-Table1[[#This Row],[PartyBVotes]])</f>
        <v>25</v>
      </c>
      <c r="N243" s="11">
        <f>Table1[[#This Row],[TotalVotesCast]]/Table1[[#This Row],[RegisteredVoters]]</f>
        <v>0.98684210526315785</v>
      </c>
      <c r="O243" t="str">
        <f>IF(Table1[[#This Row],[RegisteredVoters]]=Table1[[#This Row],[TotalVotesCast]],"Match","")</f>
        <v/>
      </c>
    </row>
    <row r="244" spans="1:15" ht="13.2">
      <c r="A244" s="1" t="s">
        <v>301</v>
      </c>
      <c r="B244" t="s">
        <v>10</v>
      </c>
      <c r="C244" t="s">
        <v>11</v>
      </c>
      <c r="D244" t="s">
        <v>268</v>
      </c>
      <c r="E244">
        <v>690</v>
      </c>
      <c r="F244">
        <v>335</v>
      </c>
      <c r="G244">
        <v>315</v>
      </c>
      <c r="H244">
        <v>15</v>
      </c>
      <c r="I244">
        <v>665</v>
      </c>
      <c r="J244" s="8">
        <f>Table1[[#This Row],[PartyAVotes]]/Table1[[#This Row],[RegisteredVoters]]</f>
        <v>0.48550724637681159</v>
      </c>
      <c r="K244" s="8">
        <f>Table1[[#This Row],[PartyBVotes]]/Table1[[#This Row],[RegisteredVoters]]</f>
        <v>0.45652173913043476</v>
      </c>
      <c r="L244" s="8">
        <f>Table1[[#This Row],[PartyCVotes]]/Table1[[#This Row],[RegisteredVoters]]</f>
        <v>2.1739130434782608E-2</v>
      </c>
      <c r="M244">
        <f>ABS(Table1[[#This Row],[PartyAVotes]]-Table1[[#This Row],[PartyBVotes]])</f>
        <v>20</v>
      </c>
      <c r="N244" s="11">
        <f>Table1[[#This Row],[TotalVotesCast]]/Table1[[#This Row],[RegisteredVoters]]</f>
        <v>0.96376811594202894</v>
      </c>
      <c r="O244" t="str">
        <f>IF(Table1[[#This Row],[RegisteredVoters]]=Table1[[#This Row],[TotalVotesCast]],"Match","")</f>
        <v/>
      </c>
    </row>
    <row r="245" spans="1:15" ht="13.2">
      <c r="A245" s="1" t="s">
        <v>302</v>
      </c>
      <c r="B245" t="s">
        <v>15</v>
      </c>
      <c r="C245" t="s">
        <v>16</v>
      </c>
      <c r="D245" t="s">
        <v>268</v>
      </c>
      <c r="E245">
        <v>980</v>
      </c>
      <c r="F245">
        <v>485</v>
      </c>
      <c r="G245">
        <v>465</v>
      </c>
      <c r="H245">
        <v>20</v>
      </c>
      <c r="I245">
        <v>970</v>
      </c>
      <c r="J245" s="8">
        <f>Table1[[#This Row],[PartyAVotes]]/Table1[[#This Row],[RegisteredVoters]]</f>
        <v>0.49489795918367346</v>
      </c>
      <c r="K245" s="8">
        <f>Table1[[#This Row],[PartyBVotes]]/Table1[[#This Row],[RegisteredVoters]]</f>
        <v>0.47448979591836737</v>
      </c>
      <c r="L245" s="8">
        <f>Table1[[#This Row],[PartyCVotes]]/Table1[[#This Row],[RegisteredVoters]]</f>
        <v>2.0408163265306121E-2</v>
      </c>
      <c r="M245">
        <f>ABS(Table1[[#This Row],[PartyAVotes]]-Table1[[#This Row],[PartyBVotes]])</f>
        <v>20</v>
      </c>
      <c r="N245" s="11">
        <f>Table1[[#This Row],[TotalVotesCast]]/Table1[[#This Row],[RegisteredVoters]]</f>
        <v>0.98979591836734693</v>
      </c>
      <c r="O245" t="str">
        <f>IF(Table1[[#This Row],[RegisteredVoters]]=Table1[[#This Row],[TotalVotesCast]],"Match","")</f>
        <v/>
      </c>
    </row>
    <row r="246" spans="1:15" ht="13.2">
      <c r="A246" s="1" t="s">
        <v>303</v>
      </c>
      <c r="B246" t="s">
        <v>18</v>
      </c>
      <c r="C246" t="s">
        <v>20</v>
      </c>
      <c r="D246" t="s">
        <v>304</v>
      </c>
      <c r="E246">
        <v>1050</v>
      </c>
      <c r="F246">
        <v>520</v>
      </c>
      <c r="G246">
        <v>500</v>
      </c>
      <c r="H246">
        <v>15</v>
      </c>
      <c r="I246">
        <v>1035</v>
      </c>
      <c r="J246" s="8">
        <f>Table1[[#This Row],[PartyAVotes]]/Table1[[#This Row],[RegisteredVoters]]</f>
        <v>0.49523809523809526</v>
      </c>
      <c r="K246" s="8">
        <f>Table1[[#This Row],[PartyBVotes]]/Table1[[#This Row],[RegisteredVoters]]</f>
        <v>0.47619047619047616</v>
      </c>
      <c r="L246" s="8">
        <f>Table1[[#This Row],[PartyCVotes]]/Table1[[#This Row],[RegisteredVoters]]</f>
        <v>1.4285714285714285E-2</v>
      </c>
      <c r="M246">
        <f>ABS(Table1[[#This Row],[PartyAVotes]]-Table1[[#This Row],[PartyBVotes]])</f>
        <v>20</v>
      </c>
      <c r="N246" s="11">
        <f>Table1[[#This Row],[TotalVotesCast]]/Table1[[#This Row],[RegisteredVoters]]</f>
        <v>0.98571428571428577</v>
      </c>
      <c r="O246" t="str">
        <f>IF(Table1[[#This Row],[RegisteredVoters]]=Table1[[#This Row],[TotalVotesCast]],"Match","")</f>
        <v/>
      </c>
    </row>
    <row r="247" spans="1:15" ht="13.2">
      <c r="A247" s="1" t="s">
        <v>305</v>
      </c>
      <c r="B247" t="s">
        <v>21</v>
      </c>
      <c r="C247" t="s">
        <v>22</v>
      </c>
      <c r="D247" t="s">
        <v>259</v>
      </c>
      <c r="E247">
        <v>1330</v>
      </c>
      <c r="F247">
        <v>650</v>
      </c>
      <c r="G247">
        <v>620</v>
      </c>
      <c r="H247">
        <v>25</v>
      </c>
      <c r="I247">
        <v>1295</v>
      </c>
      <c r="J247" s="8">
        <f>Table1[[#This Row],[PartyAVotes]]/Table1[[#This Row],[RegisteredVoters]]</f>
        <v>0.48872180451127817</v>
      </c>
      <c r="K247" s="8">
        <f>Table1[[#This Row],[PartyBVotes]]/Table1[[#This Row],[RegisteredVoters]]</f>
        <v>0.46616541353383456</v>
      </c>
      <c r="L247" s="8">
        <f>Table1[[#This Row],[PartyCVotes]]/Table1[[#This Row],[RegisteredVoters]]</f>
        <v>1.8796992481203006E-2</v>
      </c>
      <c r="M247">
        <f>ABS(Table1[[#This Row],[PartyAVotes]]-Table1[[#This Row],[PartyBVotes]])</f>
        <v>30</v>
      </c>
      <c r="N247" s="11">
        <f>Table1[[#This Row],[TotalVotesCast]]/Table1[[#This Row],[RegisteredVoters]]</f>
        <v>0.97368421052631582</v>
      </c>
      <c r="O247" t="str">
        <f>IF(Table1[[#This Row],[RegisteredVoters]]=Table1[[#This Row],[TotalVotesCast]],"Match","")</f>
        <v/>
      </c>
    </row>
    <row r="248" spans="1:15" ht="13.2">
      <c r="A248" s="1" t="s">
        <v>306</v>
      </c>
      <c r="B248" t="s">
        <v>10</v>
      </c>
      <c r="C248" t="s">
        <v>14</v>
      </c>
      <c r="D248" t="s">
        <v>254</v>
      </c>
      <c r="E248">
        <v>760</v>
      </c>
      <c r="F248">
        <v>375</v>
      </c>
      <c r="G248">
        <v>355</v>
      </c>
      <c r="H248">
        <v>15</v>
      </c>
      <c r="I248">
        <v>745</v>
      </c>
      <c r="J248" s="8">
        <f>Table1[[#This Row],[PartyAVotes]]/Table1[[#This Row],[RegisteredVoters]]</f>
        <v>0.49342105263157893</v>
      </c>
      <c r="K248" s="8">
        <f>Table1[[#This Row],[PartyBVotes]]/Table1[[#This Row],[RegisteredVoters]]</f>
        <v>0.46710526315789475</v>
      </c>
      <c r="L248" s="8">
        <f>Table1[[#This Row],[PartyCVotes]]/Table1[[#This Row],[RegisteredVoters]]</f>
        <v>1.9736842105263157E-2</v>
      </c>
      <c r="M248">
        <f>ABS(Table1[[#This Row],[PartyAVotes]]-Table1[[#This Row],[PartyBVotes]])</f>
        <v>20</v>
      </c>
      <c r="N248" s="11">
        <f>Table1[[#This Row],[TotalVotesCast]]/Table1[[#This Row],[RegisteredVoters]]</f>
        <v>0.98026315789473684</v>
      </c>
      <c r="O248" t="str">
        <f>IF(Table1[[#This Row],[RegisteredVoters]]=Table1[[#This Row],[TotalVotesCast]],"Match","")</f>
        <v/>
      </c>
    </row>
    <row r="249" spans="1:15" ht="13.2">
      <c r="A249" s="1" t="s">
        <v>307</v>
      </c>
      <c r="B249" t="s">
        <v>15</v>
      </c>
      <c r="C249" t="s">
        <v>17</v>
      </c>
      <c r="D249" t="s">
        <v>236</v>
      </c>
      <c r="E249">
        <v>820</v>
      </c>
      <c r="F249">
        <v>405</v>
      </c>
      <c r="G249">
        <v>385</v>
      </c>
      <c r="H249">
        <v>15</v>
      </c>
      <c r="I249">
        <v>805</v>
      </c>
      <c r="J249" s="8">
        <f>Table1[[#This Row],[PartyAVotes]]/Table1[[#This Row],[RegisteredVoters]]</f>
        <v>0.49390243902439024</v>
      </c>
      <c r="K249" s="8">
        <f>Table1[[#This Row],[PartyBVotes]]/Table1[[#This Row],[RegisteredVoters]]</f>
        <v>0.46951219512195119</v>
      </c>
      <c r="L249" s="8">
        <f>Table1[[#This Row],[PartyCVotes]]/Table1[[#This Row],[RegisteredVoters]]</f>
        <v>1.8292682926829267E-2</v>
      </c>
      <c r="M249">
        <f>ABS(Table1[[#This Row],[PartyAVotes]]-Table1[[#This Row],[PartyBVotes]])</f>
        <v>20</v>
      </c>
      <c r="N249" s="11">
        <f>Table1[[#This Row],[TotalVotesCast]]/Table1[[#This Row],[RegisteredVoters]]</f>
        <v>0.98170731707317072</v>
      </c>
      <c r="O249" t="str">
        <f>IF(Table1[[#This Row],[RegisteredVoters]]=Table1[[#This Row],[TotalVotesCast]],"Match","")</f>
        <v/>
      </c>
    </row>
    <row r="250" spans="1:15" ht="13.2">
      <c r="A250" s="1" t="s">
        <v>308</v>
      </c>
      <c r="B250" t="s">
        <v>18</v>
      </c>
      <c r="C250" t="s">
        <v>19</v>
      </c>
      <c r="D250" t="s">
        <v>259</v>
      </c>
      <c r="E250">
        <v>1090</v>
      </c>
      <c r="F250">
        <v>540</v>
      </c>
      <c r="G250">
        <v>515</v>
      </c>
      <c r="H250">
        <v>20</v>
      </c>
      <c r="I250">
        <v>1075</v>
      </c>
      <c r="J250" s="8">
        <f>Table1[[#This Row],[PartyAVotes]]/Table1[[#This Row],[RegisteredVoters]]</f>
        <v>0.49541284403669728</v>
      </c>
      <c r="K250" s="8">
        <f>Table1[[#This Row],[PartyBVotes]]/Table1[[#This Row],[RegisteredVoters]]</f>
        <v>0.47247706422018348</v>
      </c>
      <c r="L250" s="8">
        <f>Table1[[#This Row],[PartyCVotes]]/Table1[[#This Row],[RegisteredVoters]]</f>
        <v>1.834862385321101E-2</v>
      </c>
      <c r="M250">
        <f>ABS(Table1[[#This Row],[PartyAVotes]]-Table1[[#This Row],[PartyBVotes]])</f>
        <v>25</v>
      </c>
      <c r="N250" s="11">
        <f>Table1[[#This Row],[TotalVotesCast]]/Table1[[#This Row],[RegisteredVoters]]</f>
        <v>0.98623853211009171</v>
      </c>
      <c r="O250" t="str">
        <f>IF(Table1[[#This Row],[RegisteredVoters]]=Table1[[#This Row],[TotalVotesCast]],"Match","")</f>
        <v/>
      </c>
    </row>
    <row r="251" spans="1:15" ht="13.2">
      <c r="A251" s="1" t="s">
        <v>309</v>
      </c>
      <c r="B251" t="s">
        <v>21</v>
      </c>
      <c r="C251" t="s">
        <v>23</v>
      </c>
      <c r="D251" t="s">
        <v>245</v>
      </c>
      <c r="E251">
        <v>1150</v>
      </c>
      <c r="F251">
        <v>570</v>
      </c>
      <c r="G251">
        <v>545</v>
      </c>
      <c r="H251">
        <v>20</v>
      </c>
      <c r="I251">
        <v>1135</v>
      </c>
      <c r="J251" s="8">
        <f>Table1[[#This Row],[PartyAVotes]]/Table1[[#This Row],[RegisteredVoters]]</f>
        <v>0.4956521739130435</v>
      </c>
      <c r="K251" s="8">
        <f>Table1[[#This Row],[PartyBVotes]]/Table1[[#This Row],[RegisteredVoters]]</f>
        <v>0.47391304347826085</v>
      </c>
      <c r="L251" s="8">
        <f>Table1[[#This Row],[PartyCVotes]]/Table1[[#This Row],[RegisteredVoters]]</f>
        <v>1.7391304347826087E-2</v>
      </c>
      <c r="M251">
        <f>ABS(Table1[[#This Row],[PartyAVotes]]-Table1[[#This Row],[PartyBVotes]])</f>
        <v>25</v>
      </c>
      <c r="N251" s="11">
        <f>Table1[[#This Row],[TotalVotesCast]]/Table1[[#This Row],[RegisteredVoters]]</f>
        <v>0.9869565217391304</v>
      </c>
      <c r="O251" t="str">
        <f>IF(Table1[[#This Row],[RegisteredVoters]]=Table1[[#This Row],[TotalVotesCast]],"Match","")</f>
        <v/>
      </c>
    </row>
    <row r="252" spans="1:15" ht="13.2">
      <c r="A252" s="1" t="s">
        <v>310</v>
      </c>
      <c r="B252" t="s">
        <v>10</v>
      </c>
      <c r="C252" t="s">
        <v>11</v>
      </c>
      <c r="D252" t="s">
        <v>277</v>
      </c>
      <c r="E252">
        <v>700</v>
      </c>
      <c r="F252">
        <v>340</v>
      </c>
      <c r="G252">
        <v>320</v>
      </c>
      <c r="H252">
        <v>15</v>
      </c>
      <c r="I252">
        <v>675</v>
      </c>
      <c r="J252" s="8">
        <f>Table1[[#This Row],[PartyAVotes]]/Table1[[#This Row],[RegisteredVoters]]</f>
        <v>0.48571428571428571</v>
      </c>
      <c r="K252" s="8">
        <f>Table1[[#This Row],[PartyBVotes]]/Table1[[#This Row],[RegisteredVoters]]</f>
        <v>0.45714285714285713</v>
      </c>
      <c r="L252" s="8">
        <f>Table1[[#This Row],[PartyCVotes]]/Table1[[#This Row],[RegisteredVoters]]</f>
        <v>2.1428571428571429E-2</v>
      </c>
      <c r="M252">
        <f>ABS(Table1[[#This Row],[PartyAVotes]]-Table1[[#This Row],[PartyBVotes]])</f>
        <v>20</v>
      </c>
      <c r="N252" s="11">
        <f>Table1[[#This Row],[TotalVotesCast]]/Table1[[#This Row],[RegisteredVoters]]</f>
        <v>0.9642857142857143</v>
      </c>
      <c r="O252" t="str">
        <f>IF(Table1[[#This Row],[RegisteredVoters]]=Table1[[#This Row],[TotalVotesCast]],"Match","")</f>
        <v/>
      </c>
    </row>
    <row r="253" spans="1:15" ht="13.2">
      <c r="A253" s="1" t="s">
        <v>311</v>
      </c>
      <c r="B253" t="s">
        <v>15</v>
      </c>
      <c r="C253" t="s">
        <v>16</v>
      </c>
      <c r="D253" t="s">
        <v>277</v>
      </c>
      <c r="E253">
        <v>990</v>
      </c>
      <c r="F253">
        <v>490</v>
      </c>
      <c r="G253">
        <v>470</v>
      </c>
      <c r="H253">
        <v>20</v>
      </c>
      <c r="I253">
        <v>980</v>
      </c>
      <c r="J253" s="8">
        <f>Table1[[#This Row],[PartyAVotes]]/Table1[[#This Row],[RegisteredVoters]]</f>
        <v>0.49494949494949497</v>
      </c>
      <c r="K253" s="8">
        <f>Table1[[#This Row],[PartyBVotes]]/Table1[[#This Row],[RegisteredVoters]]</f>
        <v>0.47474747474747475</v>
      </c>
      <c r="L253" s="8">
        <f>Table1[[#This Row],[PartyCVotes]]/Table1[[#This Row],[RegisteredVoters]]</f>
        <v>2.0202020202020204E-2</v>
      </c>
      <c r="M253">
        <f>ABS(Table1[[#This Row],[PartyAVotes]]-Table1[[#This Row],[PartyBVotes]])</f>
        <v>20</v>
      </c>
      <c r="N253" s="11">
        <f>Table1[[#This Row],[TotalVotesCast]]/Table1[[#This Row],[RegisteredVoters]]</f>
        <v>0.98989898989898994</v>
      </c>
      <c r="O253" t="str">
        <f>IF(Table1[[#This Row],[RegisteredVoters]]=Table1[[#This Row],[TotalVotesCast]],"Match","")</f>
        <v/>
      </c>
    </row>
    <row r="254" spans="1:15" ht="13.2">
      <c r="A254" s="1" t="s">
        <v>312</v>
      </c>
      <c r="B254" t="s">
        <v>18</v>
      </c>
      <c r="C254" t="s">
        <v>20</v>
      </c>
      <c r="D254" t="s">
        <v>313</v>
      </c>
      <c r="E254">
        <v>1060</v>
      </c>
      <c r="F254">
        <v>525</v>
      </c>
      <c r="G254">
        <v>505</v>
      </c>
      <c r="H254">
        <v>15</v>
      </c>
      <c r="I254">
        <v>1045</v>
      </c>
      <c r="J254" s="8">
        <f>Table1[[#This Row],[PartyAVotes]]/Table1[[#This Row],[RegisteredVoters]]</f>
        <v>0.49528301886792453</v>
      </c>
      <c r="K254" s="8">
        <f>Table1[[#This Row],[PartyBVotes]]/Table1[[#This Row],[RegisteredVoters]]</f>
        <v>0.47641509433962265</v>
      </c>
      <c r="L254" s="8">
        <f>Table1[[#This Row],[PartyCVotes]]/Table1[[#This Row],[RegisteredVoters]]</f>
        <v>1.4150943396226415E-2</v>
      </c>
      <c r="M254">
        <f>ABS(Table1[[#This Row],[PartyAVotes]]-Table1[[#This Row],[PartyBVotes]])</f>
        <v>20</v>
      </c>
      <c r="N254" s="11">
        <f>Table1[[#This Row],[TotalVotesCast]]/Table1[[#This Row],[RegisteredVoters]]</f>
        <v>0.98584905660377353</v>
      </c>
      <c r="O254" t="str">
        <f>IF(Table1[[#This Row],[RegisteredVoters]]=Table1[[#This Row],[TotalVotesCast]],"Match","")</f>
        <v/>
      </c>
    </row>
    <row r="255" spans="1:15" ht="13.2">
      <c r="A255" s="1" t="s">
        <v>314</v>
      </c>
      <c r="B255" t="s">
        <v>21</v>
      </c>
      <c r="C255" t="s">
        <v>22</v>
      </c>
      <c r="D255" t="s">
        <v>268</v>
      </c>
      <c r="E255">
        <v>1340</v>
      </c>
      <c r="F255">
        <v>655</v>
      </c>
      <c r="G255">
        <v>625</v>
      </c>
      <c r="H255">
        <v>25</v>
      </c>
      <c r="I255">
        <v>1305</v>
      </c>
      <c r="J255" s="8">
        <f>Table1[[#This Row],[PartyAVotes]]/Table1[[#This Row],[RegisteredVoters]]</f>
        <v>0.48880597014925375</v>
      </c>
      <c r="K255" s="8">
        <f>Table1[[#This Row],[PartyBVotes]]/Table1[[#This Row],[RegisteredVoters]]</f>
        <v>0.46641791044776121</v>
      </c>
      <c r="L255" s="8">
        <f>Table1[[#This Row],[PartyCVotes]]/Table1[[#This Row],[RegisteredVoters]]</f>
        <v>1.8656716417910446E-2</v>
      </c>
      <c r="M255">
        <f>ABS(Table1[[#This Row],[PartyAVotes]]-Table1[[#This Row],[PartyBVotes]])</f>
        <v>30</v>
      </c>
      <c r="N255" s="11">
        <f>Table1[[#This Row],[TotalVotesCast]]/Table1[[#This Row],[RegisteredVoters]]</f>
        <v>0.97388059701492535</v>
      </c>
      <c r="O255" t="str">
        <f>IF(Table1[[#This Row],[RegisteredVoters]]=Table1[[#This Row],[TotalVotesCast]],"Match","")</f>
        <v/>
      </c>
    </row>
    <row r="256" spans="1:15" ht="13.2">
      <c r="A256" s="1" t="s">
        <v>315</v>
      </c>
      <c r="B256" t="s">
        <v>10</v>
      </c>
      <c r="C256" t="s">
        <v>14</v>
      </c>
      <c r="D256" t="s">
        <v>259</v>
      </c>
      <c r="E256">
        <v>770</v>
      </c>
      <c r="F256">
        <v>380</v>
      </c>
      <c r="G256">
        <v>360</v>
      </c>
      <c r="H256">
        <v>15</v>
      </c>
      <c r="I256">
        <v>755</v>
      </c>
      <c r="J256" s="8">
        <f>Table1[[#This Row],[PartyAVotes]]/Table1[[#This Row],[RegisteredVoters]]</f>
        <v>0.4935064935064935</v>
      </c>
      <c r="K256" s="8">
        <f>Table1[[#This Row],[PartyBVotes]]/Table1[[#This Row],[RegisteredVoters]]</f>
        <v>0.46753246753246752</v>
      </c>
      <c r="L256" s="8">
        <f>Table1[[#This Row],[PartyCVotes]]/Table1[[#This Row],[RegisteredVoters]]</f>
        <v>1.948051948051948E-2</v>
      </c>
      <c r="M256">
        <f>ABS(Table1[[#This Row],[PartyAVotes]]-Table1[[#This Row],[PartyBVotes]])</f>
        <v>20</v>
      </c>
      <c r="N256" s="11">
        <f>Table1[[#This Row],[TotalVotesCast]]/Table1[[#This Row],[RegisteredVoters]]</f>
        <v>0.98051948051948057</v>
      </c>
      <c r="O256" t="str">
        <f>IF(Table1[[#This Row],[RegisteredVoters]]=Table1[[#This Row],[TotalVotesCast]],"Match","")</f>
        <v/>
      </c>
    </row>
    <row r="257" spans="1:15" ht="13.2">
      <c r="A257" s="1" t="s">
        <v>316</v>
      </c>
      <c r="B257" t="s">
        <v>15</v>
      </c>
      <c r="C257" t="s">
        <v>17</v>
      </c>
      <c r="D257" t="s">
        <v>245</v>
      </c>
      <c r="E257">
        <v>830</v>
      </c>
      <c r="F257">
        <v>410</v>
      </c>
      <c r="G257">
        <v>390</v>
      </c>
      <c r="H257">
        <v>15</v>
      </c>
      <c r="I257">
        <v>815</v>
      </c>
      <c r="J257" s="8">
        <f>Table1[[#This Row],[PartyAVotes]]/Table1[[#This Row],[RegisteredVoters]]</f>
        <v>0.49397590361445781</v>
      </c>
      <c r="K257" s="8">
        <f>Table1[[#This Row],[PartyBVotes]]/Table1[[#This Row],[RegisteredVoters]]</f>
        <v>0.46987951807228917</v>
      </c>
      <c r="L257" s="8">
        <f>Table1[[#This Row],[PartyCVotes]]/Table1[[#This Row],[RegisteredVoters]]</f>
        <v>1.8072289156626505E-2</v>
      </c>
      <c r="M257">
        <f>ABS(Table1[[#This Row],[PartyAVotes]]-Table1[[#This Row],[PartyBVotes]])</f>
        <v>20</v>
      </c>
      <c r="N257" s="11">
        <f>Table1[[#This Row],[TotalVotesCast]]/Table1[[#This Row],[RegisteredVoters]]</f>
        <v>0.98192771084337349</v>
      </c>
      <c r="O257" t="str">
        <f>IF(Table1[[#This Row],[RegisteredVoters]]=Table1[[#This Row],[TotalVotesCast]],"Match","")</f>
        <v/>
      </c>
    </row>
    <row r="258" spans="1:15" ht="13.2">
      <c r="A258" s="1" t="s">
        <v>317</v>
      </c>
      <c r="B258" t="s">
        <v>18</v>
      </c>
      <c r="C258" t="s">
        <v>19</v>
      </c>
      <c r="D258" t="s">
        <v>268</v>
      </c>
      <c r="E258">
        <v>1100</v>
      </c>
      <c r="F258">
        <v>545</v>
      </c>
      <c r="G258">
        <v>520</v>
      </c>
      <c r="H258">
        <v>20</v>
      </c>
      <c r="I258">
        <v>1085</v>
      </c>
      <c r="J258" s="8">
        <f>Table1[[#This Row],[PartyAVotes]]/Table1[[#This Row],[RegisteredVoters]]</f>
        <v>0.49545454545454548</v>
      </c>
      <c r="K258" s="8">
        <f>Table1[[#This Row],[PartyBVotes]]/Table1[[#This Row],[RegisteredVoters]]</f>
        <v>0.47272727272727272</v>
      </c>
      <c r="L258" s="8">
        <f>Table1[[#This Row],[PartyCVotes]]/Table1[[#This Row],[RegisteredVoters]]</f>
        <v>1.8181818181818181E-2</v>
      </c>
      <c r="M258">
        <f>ABS(Table1[[#This Row],[PartyAVotes]]-Table1[[#This Row],[PartyBVotes]])</f>
        <v>25</v>
      </c>
      <c r="N258" s="11">
        <f>Table1[[#This Row],[TotalVotesCast]]/Table1[[#This Row],[RegisteredVoters]]</f>
        <v>0.98636363636363633</v>
      </c>
      <c r="O258" t="str">
        <f>IF(Table1[[#This Row],[RegisteredVoters]]=Table1[[#This Row],[TotalVotesCast]],"Match","")</f>
        <v/>
      </c>
    </row>
    <row r="259" spans="1:15" ht="13.2">
      <c r="A259" s="1" t="s">
        <v>318</v>
      </c>
      <c r="B259" t="s">
        <v>21</v>
      </c>
      <c r="C259" t="s">
        <v>23</v>
      </c>
      <c r="D259" t="s">
        <v>254</v>
      </c>
      <c r="E259">
        <v>1160</v>
      </c>
      <c r="F259">
        <v>575</v>
      </c>
      <c r="G259">
        <v>550</v>
      </c>
      <c r="H259">
        <v>20</v>
      </c>
      <c r="I259">
        <v>1145</v>
      </c>
      <c r="J259" s="8">
        <f>Table1[[#This Row],[PartyAVotes]]/Table1[[#This Row],[RegisteredVoters]]</f>
        <v>0.49568965517241381</v>
      </c>
      <c r="K259" s="8">
        <f>Table1[[#This Row],[PartyBVotes]]/Table1[[#This Row],[RegisteredVoters]]</f>
        <v>0.47413793103448276</v>
      </c>
      <c r="L259" s="8">
        <f>Table1[[#This Row],[PartyCVotes]]/Table1[[#This Row],[RegisteredVoters]]</f>
        <v>1.7241379310344827E-2</v>
      </c>
      <c r="M259">
        <f>ABS(Table1[[#This Row],[PartyAVotes]]-Table1[[#This Row],[PartyBVotes]])</f>
        <v>25</v>
      </c>
      <c r="N259" s="11">
        <f>Table1[[#This Row],[TotalVotesCast]]/Table1[[#This Row],[RegisteredVoters]]</f>
        <v>0.98706896551724133</v>
      </c>
      <c r="O259" t="str">
        <f>IF(Table1[[#This Row],[RegisteredVoters]]=Table1[[#This Row],[TotalVotesCast]],"Match","")</f>
        <v/>
      </c>
    </row>
    <row r="260" spans="1:15" ht="13.2">
      <c r="A260" s="1" t="s">
        <v>319</v>
      </c>
      <c r="B260" t="s">
        <v>10</v>
      </c>
      <c r="C260" t="s">
        <v>11</v>
      </c>
      <c r="D260" t="s">
        <v>286</v>
      </c>
      <c r="E260">
        <v>710</v>
      </c>
      <c r="F260">
        <v>345</v>
      </c>
      <c r="G260">
        <v>325</v>
      </c>
      <c r="H260">
        <v>15</v>
      </c>
      <c r="I260">
        <v>685</v>
      </c>
      <c r="J260" s="8">
        <f>Table1[[#This Row],[PartyAVotes]]/Table1[[#This Row],[RegisteredVoters]]</f>
        <v>0.4859154929577465</v>
      </c>
      <c r="K260" s="8">
        <f>Table1[[#This Row],[PartyBVotes]]/Table1[[#This Row],[RegisteredVoters]]</f>
        <v>0.45774647887323944</v>
      </c>
      <c r="L260" s="8">
        <f>Table1[[#This Row],[PartyCVotes]]/Table1[[#This Row],[RegisteredVoters]]</f>
        <v>2.1126760563380281E-2</v>
      </c>
      <c r="M260">
        <f>ABS(Table1[[#This Row],[PartyAVotes]]-Table1[[#This Row],[PartyBVotes]])</f>
        <v>20</v>
      </c>
      <c r="N260" s="11">
        <f>Table1[[#This Row],[TotalVotesCast]]/Table1[[#This Row],[RegisteredVoters]]</f>
        <v>0.96478873239436624</v>
      </c>
      <c r="O260" t="str">
        <f>IF(Table1[[#This Row],[RegisteredVoters]]=Table1[[#This Row],[TotalVotesCast]],"Match","")</f>
        <v/>
      </c>
    </row>
    <row r="261" spans="1:15" ht="13.2">
      <c r="A261" s="1" t="s">
        <v>320</v>
      </c>
      <c r="B261" t="s">
        <v>15</v>
      </c>
      <c r="C261" t="s">
        <v>16</v>
      </c>
      <c r="D261" t="s">
        <v>286</v>
      </c>
      <c r="E261">
        <v>1000</v>
      </c>
      <c r="F261">
        <v>495</v>
      </c>
      <c r="G261">
        <v>475</v>
      </c>
      <c r="H261">
        <v>20</v>
      </c>
      <c r="I261">
        <v>990</v>
      </c>
      <c r="J261" s="8">
        <f>Table1[[#This Row],[PartyAVotes]]/Table1[[#This Row],[RegisteredVoters]]</f>
        <v>0.495</v>
      </c>
      <c r="K261" s="8">
        <f>Table1[[#This Row],[PartyBVotes]]/Table1[[#This Row],[RegisteredVoters]]</f>
        <v>0.47499999999999998</v>
      </c>
      <c r="L261" s="8">
        <f>Table1[[#This Row],[PartyCVotes]]/Table1[[#This Row],[RegisteredVoters]]</f>
        <v>0.02</v>
      </c>
      <c r="M261">
        <f>ABS(Table1[[#This Row],[PartyAVotes]]-Table1[[#This Row],[PartyBVotes]])</f>
        <v>20</v>
      </c>
      <c r="N261" s="11">
        <f>Table1[[#This Row],[TotalVotesCast]]/Table1[[#This Row],[RegisteredVoters]]</f>
        <v>0.99</v>
      </c>
      <c r="O261" t="str">
        <f>IF(Table1[[#This Row],[RegisteredVoters]]=Table1[[#This Row],[TotalVotesCast]],"Match","")</f>
        <v/>
      </c>
    </row>
    <row r="262" spans="1:15" ht="13.2">
      <c r="A262" s="1" t="s">
        <v>321</v>
      </c>
      <c r="B262" t="s">
        <v>18</v>
      </c>
      <c r="C262" t="s">
        <v>20</v>
      </c>
      <c r="D262" t="s">
        <v>322</v>
      </c>
      <c r="E262">
        <v>1070</v>
      </c>
      <c r="F262">
        <v>530</v>
      </c>
      <c r="G262">
        <v>510</v>
      </c>
      <c r="H262">
        <v>15</v>
      </c>
      <c r="I262">
        <v>1055</v>
      </c>
      <c r="J262" s="8">
        <f>Table1[[#This Row],[PartyAVotes]]/Table1[[#This Row],[RegisteredVoters]]</f>
        <v>0.49532710280373832</v>
      </c>
      <c r="K262" s="8">
        <f>Table1[[#This Row],[PartyBVotes]]/Table1[[#This Row],[RegisteredVoters]]</f>
        <v>0.47663551401869159</v>
      </c>
      <c r="L262" s="8">
        <f>Table1[[#This Row],[PartyCVotes]]/Table1[[#This Row],[RegisteredVoters]]</f>
        <v>1.4018691588785047E-2</v>
      </c>
      <c r="M262">
        <f>ABS(Table1[[#This Row],[PartyAVotes]]-Table1[[#This Row],[PartyBVotes]])</f>
        <v>20</v>
      </c>
      <c r="N262" s="11">
        <f>Table1[[#This Row],[TotalVotesCast]]/Table1[[#This Row],[RegisteredVoters]]</f>
        <v>0.98598130841121501</v>
      </c>
      <c r="O262" t="str">
        <f>IF(Table1[[#This Row],[RegisteredVoters]]=Table1[[#This Row],[TotalVotesCast]],"Match","")</f>
        <v/>
      </c>
    </row>
    <row r="263" spans="1:15" ht="13.2">
      <c r="A263" s="1" t="s">
        <v>323</v>
      </c>
      <c r="B263" t="s">
        <v>21</v>
      </c>
      <c r="C263" t="s">
        <v>22</v>
      </c>
      <c r="D263" t="s">
        <v>277</v>
      </c>
      <c r="E263">
        <v>1350</v>
      </c>
      <c r="F263">
        <v>660</v>
      </c>
      <c r="G263">
        <v>630</v>
      </c>
      <c r="H263">
        <v>25</v>
      </c>
      <c r="I263">
        <v>1315</v>
      </c>
      <c r="J263" s="8">
        <f>Table1[[#This Row],[PartyAVotes]]/Table1[[#This Row],[RegisteredVoters]]</f>
        <v>0.48888888888888887</v>
      </c>
      <c r="K263" s="8">
        <f>Table1[[#This Row],[PartyBVotes]]/Table1[[#This Row],[RegisteredVoters]]</f>
        <v>0.46666666666666667</v>
      </c>
      <c r="L263" s="8">
        <f>Table1[[#This Row],[PartyCVotes]]/Table1[[#This Row],[RegisteredVoters]]</f>
        <v>1.8518518518518517E-2</v>
      </c>
      <c r="M263">
        <f>ABS(Table1[[#This Row],[PartyAVotes]]-Table1[[#This Row],[PartyBVotes]])</f>
        <v>30</v>
      </c>
      <c r="N263" s="11">
        <f>Table1[[#This Row],[TotalVotesCast]]/Table1[[#This Row],[RegisteredVoters]]</f>
        <v>0.97407407407407409</v>
      </c>
      <c r="O263" t="str">
        <f>IF(Table1[[#This Row],[RegisteredVoters]]=Table1[[#This Row],[TotalVotesCast]],"Match","")</f>
        <v/>
      </c>
    </row>
    <row r="264" spans="1:15" ht="13.2">
      <c r="A264" s="1" t="s">
        <v>324</v>
      </c>
      <c r="B264" t="s">
        <v>10</v>
      </c>
      <c r="C264" t="s">
        <v>14</v>
      </c>
      <c r="D264" t="s">
        <v>268</v>
      </c>
      <c r="E264">
        <v>780</v>
      </c>
      <c r="F264">
        <v>385</v>
      </c>
      <c r="G264">
        <v>365</v>
      </c>
      <c r="H264">
        <v>15</v>
      </c>
      <c r="I264">
        <v>765</v>
      </c>
      <c r="J264" s="8">
        <f>Table1[[#This Row],[PartyAVotes]]/Table1[[#This Row],[RegisteredVoters]]</f>
        <v>0.49358974358974361</v>
      </c>
      <c r="K264" s="8">
        <f>Table1[[#This Row],[PartyBVotes]]/Table1[[#This Row],[RegisteredVoters]]</f>
        <v>0.46794871794871795</v>
      </c>
      <c r="L264" s="8">
        <f>Table1[[#This Row],[PartyCVotes]]/Table1[[#This Row],[RegisteredVoters]]</f>
        <v>1.9230769230769232E-2</v>
      </c>
      <c r="M264">
        <f>ABS(Table1[[#This Row],[PartyAVotes]]-Table1[[#This Row],[PartyBVotes]])</f>
        <v>20</v>
      </c>
      <c r="N264" s="11">
        <f>Table1[[#This Row],[TotalVotesCast]]/Table1[[#This Row],[RegisteredVoters]]</f>
        <v>0.98076923076923073</v>
      </c>
      <c r="O264" t="str">
        <f>IF(Table1[[#This Row],[RegisteredVoters]]=Table1[[#This Row],[TotalVotesCast]],"Match","")</f>
        <v/>
      </c>
    </row>
    <row r="265" spans="1:15" ht="13.2">
      <c r="A265" s="1" t="s">
        <v>325</v>
      </c>
      <c r="B265" t="s">
        <v>15</v>
      </c>
      <c r="C265" t="s">
        <v>17</v>
      </c>
      <c r="D265" t="s">
        <v>254</v>
      </c>
      <c r="E265">
        <v>840</v>
      </c>
      <c r="F265">
        <v>415</v>
      </c>
      <c r="G265">
        <v>395</v>
      </c>
      <c r="H265">
        <v>15</v>
      </c>
      <c r="I265">
        <v>825</v>
      </c>
      <c r="J265" s="8">
        <f>Table1[[#This Row],[PartyAVotes]]/Table1[[#This Row],[RegisteredVoters]]</f>
        <v>0.49404761904761907</v>
      </c>
      <c r="K265" s="8">
        <f>Table1[[#This Row],[PartyBVotes]]/Table1[[#This Row],[RegisteredVoters]]</f>
        <v>0.47023809523809523</v>
      </c>
      <c r="L265" s="8">
        <f>Table1[[#This Row],[PartyCVotes]]/Table1[[#This Row],[RegisteredVoters]]</f>
        <v>1.7857142857142856E-2</v>
      </c>
      <c r="M265">
        <f>ABS(Table1[[#This Row],[PartyAVotes]]-Table1[[#This Row],[PartyBVotes]])</f>
        <v>20</v>
      </c>
      <c r="N265" s="11">
        <f>Table1[[#This Row],[TotalVotesCast]]/Table1[[#This Row],[RegisteredVoters]]</f>
        <v>0.9821428571428571</v>
      </c>
      <c r="O265" t="str">
        <f>IF(Table1[[#This Row],[RegisteredVoters]]=Table1[[#This Row],[TotalVotesCast]],"Match","")</f>
        <v/>
      </c>
    </row>
    <row r="266" spans="1:15" ht="13.2">
      <c r="A266" s="1" t="s">
        <v>326</v>
      </c>
      <c r="B266" t="s">
        <v>18</v>
      </c>
      <c r="C266" t="s">
        <v>19</v>
      </c>
      <c r="D266" t="s">
        <v>277</v>
      </c>
      <c r="E266">
        <v>1110</v>
      </c>
      <c r="F266">
        <v>550</v>
      </c>
      <c r="G266">
        <v>525</v>
      </c>
      <c r="H266">
        <v>20</v>
      </c>
      <c r="I266">
        <v>1095</v>
      </c>
      <c r="J266" s="8">
        <f>Table1[[#This Row],[PartyAVotes]]/Table1[[#This Row],[RegisteredVoters]]</f>
        <v>0.49549549549549549</v>
      </c>
      <c r="K266" s="8">
        <f>Table1[[#This Row],[PartyBVotes]]/Table1[[#This Row],[RegisteredVoters]]</f>
        <v>0.47297297297297297</v>
      </c>
      <c r="L266" s="8">
        <f>Table1[[#This Row],[PartyCVotes]]/Table1[[#This Row],[RegisteredVoters]]</f>
        <v>1.8018018018018018E-2</v>
      </c>
      <c r="M266">
        <f>ABS(Table1[[#This Row],[PartyAVotes]]-Table1[[#This Row],[PartyBVotes]])</f>
        <v>25</v>
      </c>
      <c r="N266" s="11">
        <f>Table1[[#This Row],[TotalVotesCast]]/Table1[[#This Row],[RegisteredVoters]]</f>
        <v>0.98648648648648651</v>
      </c>
      <c r="O266" t="str">
        <f>IF(Table1[[#This Row],[RegisteredVoters]]=Table1[[#This Row],[TotalVotesCast]],"Match","")</f>
        <v/>
      </c>
    </row>
    <row r="267" spans="1:15" ht="13.2">
      <c r="A267" s="1" t="s">
        <v>327</v>
      </c>
      <c r="B267" t="s">
        <v>21</v>
      </c>
      <c r="C267" t="s">
        <v>23</v>
      </c>
      <c r="D267" t="s">
        <v>259</v>
      </c>
      <c r="E267">
        <v>1170</v>
      </c>
      <c r="F267">
        <v>580</v>
      </c>
      <c r="G267">
        <v>555</v>
      </c>
      <c r="H267">
        <v>20</v>
      </c>
      <c r="I267">
        <v>1155</v>
      </c>
      <c r="J267" s="8">
        <f>Table1[[#This Row],[PartyAVotes]]/Table1[[#This Row],[RegisteredVoters]]</f>
        <v>0.49572649572649574</v>
      </c>
      <c r="K267" s="8">
        <f>Table1[[#This Row],[PartyBVotes]]/Table1[[#This Row],[RegisteredVoters]]</f>
        <v>0.47435897435897434</v>
      </c>
      <c r="L267" s="8">
        <f>Table1[[#This Row],[PartyCVotes]]/Table1[[#This Row],[RegisteredVoters]]</f>
        <v>1.7094017094017096E-2</v>
      </c>
      <c r="M267">
        <f>ABS(Table1[[#This Row],[PartyAVotes]]-Table1[[#This Row],[PartyBVotes]])</f>
        <v>25</v>
      </c>
      <c r="N267" s="11">
        <f>Table1[[#This Row],[TotalVotesCast]]/Table1[[#This Row],[RegisteredVoters]]</f>
        <v>0.98717948717948723</v>
      </c>
      <c r="O267" t="str">
        <f>IF(Table1[[#This Row],[RegisteredVoters]]=Table1[[#This Row],[TotalVotesCast]],"Match","")</f>
        <v/>
      </c>
    </row>
    <row r="268" spans="1:15" ht="13.2">
      <c r="A268" s="1" t="s">
        <v>328</v>
      </c>
      <c r="B268" t="s">
        <v>10</v>
      </c>
      <c r="C268" t="s">
        <v>11</v>
      </c>
      <c r="D268" t="s">
        <v>295</v>
      </c>
      <c r="E268">
        <v>720</v>
      </c>
      <c r="F268">
        <v>350</v>
      </c>
      <c r="G268">
        <v>330</v>
      </c>
      <c r="H268">
        <v>15</v>
      </c>
      <c r="I268">
        <v>695</v>
      </c>
      <c r="J268" s="8">
        <f>Table1[[#This Row],[PartyAVotes]]/Table1[[#This Row],[RegisteredVoters]]</f>
        <v>0.4861111111111111</v>
      </c>
      <c r="K268" s="8">
        <f>Table1[[#This Row],[PartyBVotes]]/Table1[[#This Row],[RegisteredVoters]]</f>
        <v>0.45833333333333331</v>
      </c>
      <c r="L268" s="8">
        <f>Table1[[#This Row],[PartyCVotes]]/Table1[[#This Row],[RegisteredVoters]]</f>
        <v>2.0833333333333332E-2</v>
      </c>
      <c r="M268">
        <f>ABS(Table1[[#This Row],[PartyAVotes]]-Table1[[#This Row],[PartyBVotes]])</f>
        <v>20</v>
      </c>
      <c r="N268" s="11">
        <f>Table1[[#This Row],[TotalVotesCast]]/Table1[[#This Row],[RegisteredVoters]]</f>
        <v>0.96527777777777779</v>
      </c>
      <c r="O268" t="str">
        <f>IF(Table1[[#This Row],[RegisteredVoters]]=Table1[[#This Row],[TotalVotesCast]],"Match","")</f>
        <v/>
      </c>
    </row>
    <row r="269" spans="1:15" ht="13.2">
      <c r="A269" s="1" t="s">
        <v>329</v>
      </c>
      <c r="B269" t="s">
        <v>15</v>
      </c>
      <c r="C269" t="s">
        <v>16</v>
      </c>
      <c r="D269" t="s">
        <v>295</v>
      </c>
      <c r="E269">
        <v>1010</v>
      </c>
      <c r="F269">
        <v>500</v>
      </c>
      <c r="G269">
        <v>480</v>
      </c>
      <c r="H269">
        <v>20</v>
      </c>
      <c r="I269">
        <v>1000</v>
      </c>
      <c r="J269" s="8">
        <f>Table1[[#This Row],[PartyAVotes]]/Table1[[#This Row],[RegisteredVoters]]</f>
        <v>0.49504950495049505</v>
      </c>
      <c r="K269" s="8">
        <f>Table1[[#This Row],[PartyBVotes]]/Table1[[#This Row],[RegisteredVoters]]</f>
        <v>0.47524752475247523</v>
      </c>
      <c r="L269" s="8">
        <f>Table1[[#This Row],[PartyCVotes]]/Table1[[#This Row],[RegisteredVoters]]</f>
        <v>1.9801980198019802E-2</v>
      </c>
      <c r="M269">
        <f>ABS(Table1[[#This Row],[PartyAVotes]]-Table1[[#This Row],[PartyBVotes]])</f>
        <v>20</v>
      </c>
      <c r="N269" s="11">
        <f>Table1[[#This Row],[TotalVotesCast]]/Table1[[#This Row],[RegisteredVoters]]</f>
        <v>0.99009900990099009</v>
      </c>
      <c r="O269" t="str">
        <f>IF(Table1[[#This Row],[RegisteredVoters]]=Table1[[#This Row],[TotalVotesCast]],"Match","")</f>
        <v/>
      </c>
    </row>
    <row r="270" spans="1:15" ht="13.2">
      <c r="A270" s="1" t="s">
        <v>330</v>
      </c>
      <c r="B270" t="s">
        <v>18</v>
      </c>
      <c r="C270" t="s">
        <v>20</v>
      </c>
      <c r="D270" t="s">
        <v>331</v>
      </c>
      <c r="E270">
        <v>1080</v>
      </c>
      <c r="F270">
        <v>535</v>
      </c>
      <c r="G270">
        <v>515</v>
      </c>
      <c r="H270">
        <v>15</v>
      </c>
      <c r="I270">
        <v>1065</v>
      </c>
      <c r="J270" s="8">
        <f>Table1[[#This Row],[PartyAVotes]]/Table1[[#This Row],[RegisteredVoters]]</f>
        <v>0.49537037037037035</v>
      </c>
      <c r="K270" s="8">
        <f>Table1[[#This Row],[PartyBVotes]]/Table1[[#This Row],[RegisteredVoters]]</f>
        <v>0.47685185185185186</v>
      </c>
      <c r="L270" s="8">
        <f>Table1[[#This Row],[PartyCVotes]]/Table1[[#This Row],[RegisteredVoters]]</f>
        <v>1.3888888888888888E-2</v>
      </c>
      <c r="M270">
        <f>ABS(Table1[[#This Row],[PartyAVotes]]-Table1[[#This Row],[PartyBVotes]])</f>
        <v>20</v>
      </c>
      <c r="N270" s="11">
        <f>Table1[[#This Row],[TotalVotesCast]]/Table1[[#This Row],[RegisteredVoters]]</f>
        <v>0.98611111111111116</v>
      </c>
      <c r="O270" t="str">
        <f>IF(Table1[[#This Row],[RegisteredVoters]]=Table1[[#This Row],[TotalVotesCast]],"Match","")</f>
        <v/>
      </c>
    </row>
    <row r="271" spans="1:15" ht="13.2">
      <c r="A271" s="1" t="s">
        <v>332</v>
      </c>
      <c r="B271" t="s">
        <v>21</v>
      </c>
      <c r="C271" t="s">
        <v>22</v>
      </c>
      <c r="D271" t="s">
        <v>286</v>
      </c>
      <c r="E271">
        <v>1360</v>
      </c>
      <c r="F271">
        <v>665</v>
      </c>
      <c r="G271">
        <v>635</v>
      </c>
      <c r="H271">
        <v>25</v>
      </c>
      <c r="I271">
        <v>1325</v>
      </c>
      <c r="J271" s="8">
        <f>Table1[[#This Row],[PartyAVotes]]/Table1[[#This Row],[RegisteredVoters]]</f>
        <v>0.4889705882352941</v>
      </c>
      <c r="K271" s="8">
        <f>Table1[[#This Row],[PartyBVotes]]/Table1[[#This Row],[RegisteredVoters]]</f>
        <v>0.46691176470588236</v>
      </c>
      <c r="L271" s="8">
        <f>Table1[[#This Row],[PartyCVotes]]/Table1[[#This Row],[RegisteredVoters]]</f>
        <v>1.8382352941176471E-2</v>
      </c>
      <c r="M271">
        <f>ABS(Table1[[#This Row],[PartyAVotes]]-Table1[[#This Row],[PartyBVotes]])</f>
        <v>30</v>
      </c>
      <c r="N271" s="11">
        <f>Table1[[#This Row],[TotalVotesCast]]/Table1[[#This Row],[RegisteredVoters]]</f>
        <v>0.97426470588235292</v>
      </c>
      <c r="O271" t="str">
        <f>IF(Table1[[#This Row],[RegisteredVoters]]=Table1[[#This Row],[TotalVotesCast]],"Match","")</f>
        <v/>
      </c>
    </row>
    <row r="272" spans="1:15" ht="13.2">
      <c r="A272" s="1" t="s">
        <v>333</v>
      </c>
      <c r="B272" t="s">
        <v>10</v>
      </c>
      <c r="C272" t="s">
        <v>14</v>
      </c>
      <c r="D272" t="s">
        <v>277</v>
      </c>
      <c r="E272">
        <v>790</v>
      </c>
      <c r="F272">
        <v>390</v>
      </c>
      <c r="G272">
        <v>370</v>
      </c>
      <c r="H272">
        <v>15</v>
      </c>
      <c r="I272">
        <v>775</v>
      </c>
      <c r="J272" s="8">
        <f>Table1[[#This Row],[PartyAVotes]]/Table1[[#This Row],[RegisteredVoters]]</f>
        <v>0.49367088607594939</v>
      </c>
      <c r="K272" s="8">
        <f>Table1[[#This Row],[PartyBVotes]]/Table1[[#This Row],[RegisteredVoters]]</f>
        <v>0.46835443037974683</v>
      </c>
      <c r="L272" s="8">
        <f>Table1[[#This Row],[PartyCVotes]]/Table1[[#This Row],[RegisteredVoters]]</f>
        <v>1.8987341772151899E-2</v>
      </c>
      <c r="M272">
        <f>ABS(Table1[[#This Row],[PartyAVotes]]-Table1[[#This Row],[PartyBVotes]])</f>
        <v>20</v>
      </c>
      <c r="N272" s="11">
        <f>Table1[[#This Row],[TotalVotesCast]]/Table1[[#This Row],[RegisteredVoters]]</f>
        <v>0.98101265822784811</v>
      </c>
      <c r="O272" t="str">
        <f>IF(Table1[[#This Row],[RegisteredVoters]]=Table1[[#This Row],[TotalVotesCast]],"Match","")</f>
        <v/>
      </c>
    </row>
    <row r="273" spans="1:15" ht="13.2">
      <c r="A273" s="1" t="s">
        <v>334</v>
      </c>
      <c r="B273" t="s">
        <v>15</v>
      </c>
      <c r="C273" t="s">
        <v>17</v>
      </c>
      <c r="D273" t="s">
        <v>259</v>
      </c>
      <c r="E273">
        <v>850</v>
      </c>
      <c r="F273">
        <v>420</v>
      </c>
      <c r="G273">
        <v>400</v>
      </c>
      <c r="H273">
        <v>15</v>
      </c>
      <c r="I273">
        <v>835</v>
      </c>
      <c r="J273" s="8">
        <f>Table1[[#This Row],[PartyAVotes]]/Table1[[#This Row],[RegisteredVoters]]</f>
        <v>0.49411764705882355</v>
      </c>
      <c r="K273" s="8">
        <f>Table1[[#This Row],[PartyBVotes]]/Table1[[#This Row],[RegisteredVoters]]</f>
        <v>0.47058823529411764</v>
      </c>
      <c r="L273" s="8">
        <f>Table1[[#This Row],[PartyCVotes]]/Table1[[#This Row],[RegisteredVoters]]</f>
        <v>1.7647058823529412E-2</v>
      </c>
      <c r="M273">
        <f>ABS(Table1[[#This Row],[PartyAVotes]]-Table1[[#This Row],[PartyBVotes]])</f>
        <v>20</v>
      </c>
      <c r="N273" s="11">
        <f>Table1[[#This Row],[TotalVotesCast]]/Table1[[#This Row],[RegisteredVoters]]</f>
        <v>0.98235294117647054</v>
      </c>
      <c r="O273" t="str">
        <f>IF(Table1[[#This Row],[RegisteredVoters]]=Table1[[#This Row],[TotalVotesCast]],"Match","")</f>
        <v/>
      </c>
    </row>
    <row r="274" spans="1:15" ht="13.2">
      <c r="A274" s="1" t="s">
        <v>335</v>
      </c>
      <c r="B274" t="s">
        <v>18</v>
      </c>
      <c r="C274" t="s">
        <v>19</v>
      </c>
      <c r="D274" t="s">
        <v>286</v>
      </c>
      <c r="E274">
        <v>1120</v>
      </c>
      <c r="F274">
        <v>555</v>
      </c>
      <c r="G274">
        <v>530</v>
      </c>
      <c r="H274">
        <v>20</v>
      </c>
      <c r="I274">
        <v>1105</v>
      </c>
      <c r="J274" s="8">
        <f>Table1[[#This Row],[PartyAVotes]]/Table1[[#This Row],[RegisteredVoters]]</f>
        <v>0.4955357142857143</v>
      </c>
      <c r="K274" s="8">
        <f>Table1[[#This Row],[PartyBVotes]]/Table1[[#This Row],[RegisteredVoters]]</f>
        <v>0.4732142857142857</v>
      </c>
      <c r="L274" s="8">
        <f>Table1[[#This Row],[PartyCVotes]]/Table1[[#This Row],[RegisteredVoters]]</f>
        <v>1.7857142857142856E-2</v>
      </c>
      <c r="M274">
        <f>ABS(Table1[[#This Row],[PartyAVotes]]-Table1[[#This Row],[PartyBVotes]])</f>
        <v>25</v>
      </c>
      <c r="N274" s="11">
        <f>Table1[[#This Row],[TotalVotesCast]]/Table1[[#This Row],[RegisteredVoters]]</f>
        <v>0.9866071428571429</v>
      </c>
      <c r="O274" t="str">
        <f>IF(Table1[[#This Row],[RegisteredVoters]]=Table1[[#This Row],[TotalVotesCast]],"Match","")</f>
        <v/>
      </c>
    </row>
    <row r="275" spans="1:15" ht="13.2">
      <c r="A275" s="1" t="s">
        <v>336</v>
      </c>
      <c r="B275" t="s">
        <v>21</v>
      </c>
      <c r="C275" t="s">
        <v>23</v>
      </c>
      <c r="D275" t="s">
        <v>268</v>
      </c>
      <c r="E275">
        <v>1180</v>
      </c>
      <c r="F275">
        <v>585</v>
      </c>
      <c r="G275">
        <v>560</v>
      </c>
      <c r="H275">
        <v>20</v>
      </c>
      <c r="I275">
        <v>1165</v>
      </c>
      <c r="J275" s="8">
        <f>Table1[[#This Row],[PartyAVotes]]/Table1[[#This Row],[RegisteredVoters]]</f>
        <v>0.49576271186440679</v>
      </c>
      <c r="K275" s="8">
        <f>Table1[[#This Row],[PartyBVotes]]/Table1[[#This Row],[RegisteredVoters]]</f>
        <v>0.47457627118644069</v>
      </c>
      <c r="L275" s="8">
        <f>Table1[[#This Row],[PartyCVotes]]/Table1[[#This Row],[RegisteredVoters]]</f>
        <v>1.6949152542372881E-2</v>
      </c>
      <c r="M275">
        <f>ABS(Table1[[#This Row],[PartyAVotes]]-Table1[[#This Row],[PartyBVotes]])</f>
        <v>25</v>
      </c>
      <c r="N275" s="11">
        <f>Table1[[#This Row],[TotalVotesCast]]/Table1[[#This Row],[RegisteredVoters]]</f>
        <v>0.98728813559322037</v>
      </c>
      <c r="O275" t="str">
        <f>IF(Table1[[#This Row],[RegisteredVoters]]=Table1[[#This Row],[TotalVotesCast]],"Match","")</f>
        <v/>
      </c>
    </row>
    <row r="276" spans="1:15" ht="13.2">
      <c r="A276" s="1" t="s">
        <v>337</v>
      </c>
      <c r="B276" t="s">
        <v>10</v>
      </c>
      <c r="C276" t="s">
        <v>11</v>
      </c>
      <c r="D276" t="s">
        <v>304</v>
      </c>
      <c r="E276">
        <v>730</v>
      </c>
      <c r="F276">
        <v>355</v>
      </c>
      <c r="G276">
        <v>335</v>
      </c>
      <c r="H276">
        <v>15</v>
      </c>
      <c r="I276">
        <v>705</v>
      </c>
      <c r="J276" s="8">
        <f>Table1[[#This Row],[PartyAVotes]]/Table1[[#This Row],[RegisteredVoters]]</f>
        <v>0.4863013698630137</v>
      </c>
      <c r="K276" s="8">
        <f>Table1[[#This Row],[PartyBVotes]]/Table1[[#This Row],[RegisteredVoters]]</f>
        <v>0.4589041095890411</v>
      </c>
      <c r="L276" s="8">
        <f>Table1[[#This Row],[PartyCVotes]]/Table1[[#This Row],[RegisteredVoters]]</f>
        <v>2.0547945205479451E-2</v>
      </c>
      <c r="M276">
        <f>ABS(Table1[[#This Row],[PartyAVotes]]-Table1[[#This Row],[PartyBVotes]])</f>
        <v>20</v>
      </c>
      <c r="N276" s="11">
        <f>Table1[[#This Row],[TotalVotesCast]]/Table1[[#This Row],[RegisteredVoters]]</f>
        <v>0.96575342465753422</v>
      </c>
      <c r="O276" t="str">
        <f>IF(Table1[[#This Row],[RegisteredVoters]]=Table1[[#This Row],[TotalVotesCast]],"Match","")</f>
        <v/>
      </c>
    </row>
    <row r="277" spans="1:15" ht="13.2">
      <c r="A277" s="1" t="s">
        <v>338</v>
      </c>
      <c r="B277" t="s">
        <v>15</v>
      </c>
      <c r="C277" t="s">
        <v>16</v>
      </c>
      <c r="D277" t="s">
        <v>304</v>
      </c>
      <c r="E277">
        <v>1020</v>
      </c>
      <c r="F277">
        <v>505</v>
      </c>
      <c r="G277">
        <v>485</v>
      </c>
      <c r="H277">
        <v>20</v>
      </c>
      <c r="I277">
        <v>1010</v>
      </c>
      <c r="J277" s="8">
        <f>Table1[[#This Row],[PartyAVotes]]/Table1[[#This Row],[RegisteredVoters]]</f>
        <v>0.49509803921568629</v>
      </c>
      <c r="K277" s="8">
        <f>Table1[[#This Row],[PartyBVotes]]/Table1[[#This Row],[RegisteredVoters]]</f>
        <v>0.47549019607843135</v>
      </c>
      <c r="L277" s="8">
        <f>Table1[[#This Row],[PartyCVotes]]/Table1[[#This Row],[RegisteredVoters]]</f>
        <v>1.9607843137254902E-2</v>
      </c>
      <c r="M277">
        <f>ABS(Table1[[#This Row],[PartyAVotes]]-Table1[[#This Row],[PartyBVotes]])</f>
        <v>20</v>
      </c>
      <c r="N277" s="11">
        <f>Table1[[#This Row],[TotalVotesCast]]/Table1[[#This Row],[RegisteredVoters]]</f>
        <v>0.99019607843137258</v>
      </c>
      <c r="O277" t="str">
        <f>IF(Table1[[#This Row],[RegisteredVoters]]=Table1[[#This Row],[TotalVotesCast]],"Match","")</f>
        <v/>
      </c>
    </row>
    <row r="278" spans="1:15" ht="13.2">
      <c r="A278" s="1" t="s">
        <v>339</v>
      </c>
      <c r="B278" t="s">
        <v>18</v>
      </c>
      <c r="C278" t="s">
        <v>20</v>
      </c>
      <c r="D278" t="s">
        <v>340</v>
      </c>
      <c r="E278">
        <v>1090</v>
      </c>
      <c r="F278">
        <v>540</v>
      </c>
      <c r="G278">
        <v>520</v>
      </c>
      <c r="H278">
        <v>15</v>
      </c>
      <c r="I278">
        <v>1075</v>
      </c>
      <c r="J278" s="8">
        <f>Table1[[#This Row],[PartyAVotes]]/Table1[[#This Row],[RegisteredVoters]]</f>
        <v>0.49541284403669728</v>
      </c>
      <c r="K278" s="8">
        <f>Table1[[#This Row],[PartyBVotes]]/Table1[[#This Row],[RegisteredVoters]]</f>
        <v>0.47706422018348627</v>
      </c>
      <c r="L278" s="8">
        <f>Table1[[#This Row],[PartyCVotes]]/Table1[[#This Row],[RegisteredVoters]]</f>
        <v>1.3761467889908258E-2</v>
      </c>
      <c r="M278">
        <f>ABS(Table1[[#This Row],[PartyAVotes]]-Table1[[#This Row],[PartyBVotes]])</f>
        <v>20</v>
      </c>
      <c r="N278" s="11">
        <f>Table1[[#This Row],[TotalVotesCast]]/Table1[[#This Row],[RegisteredVoters]]</f>
        <v>0.98623853211009171</v>
      </c>
      <c r="O278" t="str">
        <f>IF(Table1[[#This Row],[RegisteredVoters]]=Table1[[#This Row],[TotalVotesCast]],"Match","")</f>
        <v/>
      </c>
    </row>
    <row r="279" spans="1:15" ht="13.2">
      <c r="A279" s="1" t="s">
        <v>341</v>
      </c>
      <c r="B279" t="s">
        <v>21</v>
      </c>
      <c r="C279" t="s">
        <v>22</v>
      </c>
      <c r="D279" t="s">
        <v>295</v>
      </c>
      <c r="E279">
        <v>1370</v>
      </c>
      <c r="F279">
        <v>670</v>
      </c>
      <c r="G279">
        <v>640</v>
      </c>
      <c r="H279">
        <v>25</v>
      </c>
      <c r="I279">
        <v>1335</v>
      </c>
      <c r="J279" s="8">
        <f>Table1[[#This Row],[PartyAVotes]]/Table1[[#This Row],[RegisteredVoters]]</f>
        <v>0.48905109489051096</v>
      </c>
      <c r="K279" s="8">
        <f>Table1[[#This Row],[PartyBVotes]]/Table1[[#This Row],[RegisteredVoters]]</f>
        <v>0.46715328467153283</v>
      </c>
      <c r="L279" s="8">
        <f>Table1[[#This Row],[PartyCVotes]]/Table1[[#This Row],[RegisteredVoters]]</f>
        <v>1.824817518248175E-2</v>
      </c>
      <c r="M279">
        <f>ABS(Table1[[#This Row],[PartyAVotes]]-Table1[[#This Row],[PartyBVotes]])</f>
        <v>30</v>
      </c>
      <c r="N279" s="11">
        <f>Table1[[#This Row],[TotalVotesCast]]/Table1[[#This Row],[RegisteredVoters]]</f>
        <v>0.97445255474452552</v>
      </c>
      <c r="O279" t="str">
        <f>IF(Table1[[#This Row],[RegisteredVoters]]=Table1[[#This Row],[TotalVotesCast]],"Match","")</f>
        <v/>
      </c>
    </row>
    <row r="280" spans="1:15" ht="13.2">
      <c r="A280" s="1" t="s">
        <v>342</v>
      </c>
      <c r="B280" t="s">
        <v>10</v>
      </c>
      <c r="C280" t="s">
        <v>14</v>
      </c>
      <c r="D280" t="s">
        <v>286</v>
      </c>
      <c r="E280">
        <v>800</v>
      </c>
      <c r="F280">
        <v>395</v>
      </c>
      <c r="G280">
        <v>375</v>
      </c>
      <c r="H280">
        <v>15</v>
      </c>
      <c r="I280">
        <v>785</v>
      </c>
      <c r="J280" s="8">
        <f>Table1[[#This Row],[PartyAVotes]]/Table1[[#This Row],[RegisteredVoters]]</f>
        <v>0.49375000000000002</v>
      </c>
      <c r="K280" s="8">
        <f>Table1[[#This Row],[PartyBVotes]]/Table1[[#This Row],[RegisteredVoters]]</f>
        <v>0.46875</v>
      </c>
      <c r="L280" s="8">
        <f>Table1[[#This Row],[PartyCVotes]]/Table1[[#This Row],[RegisteredVoters]]</f>
        <v>1.8749999999999999E-2</v>
      </c>
      <c r="M280">
        <f>ABS(Table1[[#This Row],[PartyAVotes]]-Table1[[#This Row],[PartyBVotes]])</f>
        <v>20</v>
      </c>
      <c r="N280" s="11">
        <f>Table1[[#This Row],[TotalVotesCast]]/Table1[[#This Row],[RegisteredVoters]]</f>
        <v>0.98124999999999996</v>
      </c>
      <c r="O280" t="str">
        <f>IF(Table1[[#This Row],[RegisteredVoters]]=Table1[[#This Row],[TotalVotesCast]],"Match","")</f>
        <v/>
      </c>
    </row>
    <row r="281" spans="1:15" ht="13.2">
      <c r="A281" s="1" t="s">
        <v>343</v>
      </c>
      <c r="B281" t="s">
        <v>15</v>
      </c>
      <c r="C281" t="s">
        <v>17</v>
      </c>
      <c r="D281" t="s">
        <v>268</v>
      </c>
      <c r="E281">
        <v>860</v>
      </c>
      <c r="F281">
        <v>425</v>
      </c>
      <c r="G281">
        <v>405</v>
      </c>
      <c r="H281">
        <v>15</v>
      </c>
      <c r="I281">
        <v>845</v>
      </c>
      <c r="J281" s="8">
        <f>Table1[[#This Row],[PartyAVotes]]/Table1[[#This Row],[RegisteredVoters]]</f>
        <v>0.4941860465116279</v>
      </c>
      <c r="K281" s="8">
        <f>Table1[[#This Row],[PartyBVotes]]/Table1[[#This Row],[RegisteredVoters]]</f>
        <v>0.47093023255813954</v>
      </c>
      <c r="L281" s="8">
        <f>Table1[[#This Row],[PartyCVotes]]/Table1[[#This Row],[RegisteredVoters]]</f>
        <v>1.7441860465116279E-2</v>
      </c>
      <c r="M281">
        <f>ABS(Table1[[#This Row],[PartyAVotes]]-Table1[[#This Row],[PartyBVotes]])</f>
        <v>20</v>
      </c>
      <c r="N281" s="11">
        <f>Table1[[#This Row],[TotalVotesCast]]/Table1[[#This Row],[RegisteredVoters]]</f>
        <v>0.98255813953488369</v>
      </c>
      <c r="O281" t="str">
        <f>IF(Table1[[#This Row],[RegisteredVoters]]=Table1[[#This Row],[TotalVotesCast]],"Match","")</f>
        <v/>
      </c>
    </row>
    <row r="282" spans="1:15" ht="13.2">
      <c r="A282" s="1" t="s">
        <v>344</v>
      </c>
      <c r="B282" t="s">
        <v>18</v>
      </c>
      <c r="C282" t="s">
        <v>19</v>
      </c>
      <c r="D282" t="s">
        <v>295</v>
      </c>
      <c r="E282">
        <v>1130</v>
      </c>
      <c r="F282">
        <v>560</v>
      </c>
      <c r="G282">
        <v>535</v>
      </c>
      <c r="H282">
        <v>20</v>
      </c>
      <c r="I282">
        <v>1115</v>
      </c>
      <c r="J282" s="8">
        <f>Table1[[#This Row],[PartyAVotes]]/Table1[[#This Row],[RegisteredVoters]]</f>
        <v>0.49557522123893805</v>
      </c>
      <c r="K282" s="8">
        <f>Table1[[#This Row],[PartyBVotes]]/Table1[[#This Row],[RegisteredVoters]]</f>
        <v>0.47345132743362833</v>
      </c>
      <c r="L282" s="8">
        <f>Table1[[#This Row],[PartyCVotes]]/Table1[[#This Row],[RegisteredVoters]]</f>
        <v>1.7699115044247787E-2</v>
      </c>
      <c r="M282">
        <f>ABS(Table1[[#This Row],[PartyAVotes]]-Table1[[#This Row],[PartyBVotes]])</f>
        <v>25</v>
      </c>
      <c r="N282" s="11">
        <f>Table1[[#This Row],[TotalVotesCast]]/Table1[[#This Row],[RegisteredVoters]]</f>
        <v>0.98672566371681414</v>
      </c>
      <c r="O282" t="str">
        <f>IF(Table1[[#This Row],[RegisteredVoters]]=Table1[[#This Row],[TotalVotesCast]],"Match","")</f>
        <v/>
      </c>
    </row>
    <row r="283" spans="1:15" ht="13.2">
      <c r="A283" s="1" t="s">
        <v>345</v>
      </c>
      <c r="B283" t="s">
        <v>21</v>
      </c>
      <c r="C283" t="s">
        <v>23</v>
      </c>
      <c r="D283" t="s">
        <v>277</v>
      </c>
      <c r="E283">
        <v>1190</v>
      </c>
      <c r="F283">
        <v>590</v>
      </c>
      <c r="G283">
        <v>565</v>
      </c>
      <c r="H283">
        <v>20</v>
      </c>
      <c r="I283">
        <v>1175</v>
      </c>
      <c r="J283" s="8">
        <f>Table1[[#This Row],[PartyAVotes]]/Table1[[#This Row],[RegisteredVoters]]</f>
        <v>0.49579831932773111</v>
      </c>
      <c r="K283" s="8">
        <f>Table1[[#This Row],[PartyBVotes]]/Table1[[#This Row],[RegisteredVoters]]</f>
        <v>0.47478991596638653</v>
      </c>
      <c r="L283" s="8">
        <f>Table1[[#This Row],[PartyCVotes]]/Table1[[#This Row],[RegisteredVoters]]</f>
        <v>1.680672268907563E-2</v>
      </c>
      <c r="M283">
        <f>ABS(Table1[[#This Row],[PartyAVotes]]-Table1[[#This Row],[PartyBVotes]])</f>
        <v>25</v>
      </c>
      <c r="N283" s="11">
        <f>Table1[[#This Row],[TotalVotesCast]]/Table1[[#This Row],[RegisteredVoters]]</f>
        <v>0.98739495798319332</v>
      </c>
      <c r="O283" t="str">
        <f>IF(Table1[[#This Row],[RegisteredVoters]]=Table1[[#This Row],[TotalVotesCast]],"Match","")</f>
        <v/>
      </c>
    </row>
    <row r="284" spans="1:15" ht="13.2">
      <c r="A284" s="1" t="s">
        <v>346</v>
      </c>
      <c r="B284" t="s">
        <v>10</v>
      </c>
      <c r="C284" t="s">
        <v>11</v>
      </c>
      <c r="D284" t="s">
        <v>313</v>
      </c>
      <c r="E284">
        <v>740</v>
      </c>
      <c r="F284">
        <v>360</v>
      </c>
      <c r="G284">
        <v>340</v>
      </c>
      <c r="H284">
        <v>15</v>
      </c>
      <c r="I284">
        <v>715</v>
      </c>
      <c r="J284" s="8">
        <f>Table1[[#This Row],[PartyAVotes]]/Table1[[#This Row],[RegisteredVoters]]</f>
        <v>0.48648648648648651</v>
      </c>
      <c r="K284" s="8">
        <f>Table1[[#This Row],[PartyBVotes]]/Table1[[#This Row],[RegisteredVoters]]</f>
        <v>0.45945945945945948</v>
      </c>
      <c r="L284" s="8">
        <f>Table1[[#This Row],[PartyCVotes]]/Table1[[#This Row],[RegisteredVoters]]</f>
        <v>2.0270270270270271E-2</v>
      </c>
      <c r="M284">
        <f>ABS(Table1[[#This Row],[PartyAVotes]]-Table1[[#This Row],[PartyBVotes]])</f>
        <v>20</v>
      </c>
      <c r="N284" s="11">
        <f>Table1[[#This Row],[TotalVotesCast]]/Table1[[#This Row],[RegisteredVoters]]</f>
        <v>0.96621621621621623</v>
      </c>
      <c r="O284" t="str">
        <f>IF(Table1[[#This Row],[RegisteredVoters]]=Table1[[#This Row],[TotalVotesCast]],"Match","")</f>
        <v/>
      </c>
    </row>
    <row r="285" spans="1:15" ht="13.2">
      <c r="A285" s="1" t="s">
        <v>347</v>
      </c>
      <c r="B285" t="s">
        <v>15</v>
      </c>
      <c r="C285" t="s">
        <v>16</v>
      </c>
      <c r="D285" t="s">
        <v>313</v>
      </c>
      <c r="E285">
        <v>1030</v>
      </c>
      <c r="F285">
        <v>510</v>
      </c>
      <c r="G285">
        <v>490</v>
      </c>
      <c r="H285">
        <v>20</v>
      </c>
      <c r="I285">
        <v>1020</v>
      </c>
      <c r="J285" s="8">
        <f>Table1[[#This Row],[PartyAVotes]]/Table1[[#This Row],[RegisteredVoters]]</f>
        <v>0.49514563106796117</v>
      </c>
      <c r="K285" s="8">
        <f>Table1[[#This Row],[PartyBVotes]]/Table1[[#This Row],[RegisteredVoters]]</f>
        <v>0.47572815533980584</v>
      </c>
      <c r="L285" s="8">
        <f>Table1[[#This Row],[PartyCVotes]]/Table1[[#This Row],[RegisteredVoters]]</f>
        <v>1.9417475728155338E-2</v>
      </c>
      <c r="M285">
        <f>ABS(Table1[[#This Row],[PartyAVotes]]-Table1[[#This Row],[PartyBVotes]])</f>
        <v>20</v>
      </c>
      <c r="N285" s="11">
        <f>Table1[[#This Row],[TotalVotesCast]]/Table1[[#This Row],[RegisteredVoters]]</f>
        <v>0.99029126213592233</v>
      </c>
      <c r="O285" t="str">
        <f>IF(Table1[[#This Row],[RegisteredVoters]]=Table1[[#This Row],[TotalVotesCast]],"Match","")</f>
        <v/>
      </c>
    </row>
    <row r="286" spans="1:15" ht="13.2">
      <c r="A286" s="1" t="s">
        <v>348</v>
      </c>
      <c r="B286" t="s">
        <v>18</v>
      </c>
      <c r="C286" t="s">
        <v>20</v>
      </c>
      <c r="D286" t="s">
        <v>349</v>
      </c>
      <c r="E286">
        <v>1100</v>
      </c>
      <c r="F286">
        <v>545</v>
      </c>
      <c r="G286">
        <v>525</v>
      </c>
      <c r="H286">
        <v>15</v>
      </c>
      <c r="I286">
        <v>1085</v>
      </c>
      <c r="J286" s="8">
        <f>Table1[[#This Row],[PartyAVotes]]/Table1[[#This Row],[RegisteredVoters]]</f>
        <v>0.49545454545454548</v>
      </c>
      <c r="K286" s="8">
        <f>Table1[[#This Row],[PartyBVotes]]/Table1[[#This Row],[RegisteredVoters]]</f>
        <v>0.47727272727272729</v>
      </c>
      <c r="L286" s="8">
        <f>Table1[[#This Row],[PartyCVotes]]/Table1[[#This Row],[RegisteredVoters]]</f>
        <v>1.3636363636363636E-2</v>
      </c>
      <c r="M286">
        <f>ABS(Table1[[#This Row],[PartyAVotes]]-Table1[[#This Row],[PartyBVotes]])</f>
        <v>20</v>
      </c>
      <c r="N286" s="11">
        <f>Table1[[#This Row],[TotalVotesCast]]/Table1[[#This Row],[RegisteredVoters]]</f>
        <v>0.98636363636363633</v>
      </c>
      <c r="O286" t="str">
        <f>IF(Table1[[#This Row],[RegisteredVoters]]=Table1[[#This Row],[TotalVotesCast]],"Match","")</f>
        <v/>
      </c>
    </row>
    <row r="287" spans="1:15" ht="13.2">
      <c r="A287" s="1" t="s">
        <v>350</v>
      </c>
      <c r="B287" t="s">
        <v>21</v>
      </c>
      <c r="C287" t="s">
        <v>22</v>
      </c>
      <c r="D287" t="s">
        <v>304</v>
      </c>
      <c r="E287">
        <v>1380</v>
      </c>
      <c r="F287">
        <v>675</v>
      </c>
      <c r="G287">
        <v>645</v>
      </c>
      <c r="H287">
        <v>25</v>
      </c>
      <c r="I287">
        <v>1345</v>
      </c>
      <c r="J287" s="8">
        <f>Table1[[#This Row],[PartyAVotes]]/Table1[[#This Row],[RegisteredVoters]]</f>
        <v>0.4891304347826087</v>
      </c>
      <c r="K287" s="8">
        <f>Table1[[#This Row],[PartyBVotes]]/Table1[[#This Row],[RegisteredVoters]]</f>
        <v>0.46739130434782611</v>
      </c>
      <c r="L287" s="8">
        <f>Table1[[#This Row],[PartyCVotes]]/Table1[[#This Row],[RegisteredVoters]]</f>
        <v>1.8115942028985508E-2</v>
      </c>
      <c r="M287">
        <f>ABS(Table1[[#This Row],[PartyAVotes]]-Table1[[#This Row],[PartyBVotes]])</f>
        <v>30</v>
      </c>
      <c r="N287" s="11">
        <f>Table1[[#This Row],[TotalVotesCast]]/Table1[[#This Row],[RegisteredVoters]]</f>
        <v>0.97463768115942029</v>
      </c>
      <c r="O287" t="str">
        <f>IF(Table1[[#This Row],[RegisteredVoters]]=Table1[[#This Row],[TotalVotesCast]],"Match","")</f>
        <v/>
      </c>
    </row>
    <row r="288" spans="1:15" ht="13.2">
      <c r="A288" s="1" t="s">
        <v>351</v>
      </c>
      <c r="B288" t="s">
        <v>10</v>
      </c>
      <c r="C288" t="s">
        <v>14</v>
      </c>
      <c r="D288" t="s">
        <v>295</v>
      </c>
      <c r="E288">
        <v>810</v>
      </c>
      <c r="F288">
        <v>400</v>
      </c>
      <c r="G288">
        <v>380</v>
      </c>
      <c r="H288">
        <v>15</v>
      </c>
      <c r="I288">
        <v>795</v>
      </c>
      <c r="J288" s="8">
        <f>Table1[[#This Row],[PartyAVotes]]/Table1[[#This Row],[RegisteredVoters]]</f>
        <v>0.49382716049382713</v>
      </c>
      <c r="K288" s="8">
        <f>Table1[[#This Row],[PartyBVotes]]/Table1[[#This Row],[RegisteredVoters]]</f>
        <v>0.46913580246913578</v>
      </c>
      <c r="L288" s="8">
        <f>Table1[[#This Row],[PartyCVotes]]/Table1[[#This Row],[RegisteredVoters]]</f>
        <v>1.8518518518518517E-2</v>
      </c>
      <c r="M288">
        <f>ABS(Table1[[#This Row],[PartyAVotes]]-Table1[[#This Row],[PartyBVotes]])</f>
        <v>20</v>
      </c>
      <c r="N288" s="11">
        <f>Table1[[#This Row],[TotalVotesCast]]/Table1[[#This Row],[RegisteredVoters]]</f>
        <v>0.98148148148148151</v>
      </c>
      <c r="O288" t="str">
        <f>IF(Table1[[#This Row],[RegisteredVoters]]=Table1[[#This Row],[TotalVotesCast]],"Match","")</f>
        <v/>
      </c>
    </row>
    <row r="289" spans="1:15" ht="13.2">
      <c r="A289" s="1" t="s">
        <v>352</v>
      </c>
      <c r="B289" t="s">
        <v>15</v>
      </c>
      <c r="C289" t="s">
        <v>17</v>
      </c>
      <c r="D289" t="s">
        <v>277</v>
      </c>
      <c r="E289">
        <v>870</v>
      </c>
      <c r="F289">
        <v>430</v>
      </c>
      <c r="G289">
        <v>410</v>
      </c>
      <c r="H289">
        <v>15</v>
      </c>
      <c r="I289">
        <v>855</v>
      </c>
      <c r="J289" s="8">
        <f>Table1[[#This Row],[PartyAVotes]]/Table1[[#This Row],[RegisteredVoters]]</f>
        <v>0.4942528735632184</v>
      </c>
      <c r="K289" s="8">
        <f>Table1[[#This Row],[PartyBVotes]]/Table1[[#This Row],[RegisteredVoters]]</f>
        <v>0.47126436781609193</v>
      </c>
      <c r="L289" s="8">
        <f>Table1[[#This Row],[PartyCVotes]]/Table1[[#This Row],[RegisteredVoters]]</f>
        <v>1.7241379310344827E-2</v>
      </c>
      <c r="M289">
        <f>ABS(Table1[[#This Row],[PartyAVotes]]-Table1[[#This Row],[PartyBVotes]])</f>
        <v>20</v>
      </c>
      <c r="N289" s="11">
        <f>Table1[[#This Row],[TotalVotesCast]]/Table1[[#This Row],[RegisteredVoters]]</f>
        <v>0.98275862068965514</v>
      </c>
      <c r="O289" t="str">
        <f>IF(Table1[[#This Row],[RegisteredVoters]]=Table1[[#This Row],[TotalVotesCast]],"Match","")</f>
        <v/>
      </c>
    </row>
    <row r="290" spans="1:15" ht="13.2">
      <c r="A290" s="1" t="s">
        <v>353</v>
      </c>
      <c r="B290" t="s">
        <v>18</v>
      </c>
      <c r="C290" t="s">
        <v>19</v>
      </c>
      <c r="D290" t="s">
        <v>304</v>
      </c>
      <c r="E290">
        <v>1140</v>
      </c>
      <c r="F290">
        <v>565</v>
      </c>
      <c r="G290">
        <v>540</v>
      </c>
      <c r="H290">
        <v>20</v>
      </c>
      <c r="I290">
        <v>1125</v>
      </c>
      <c r="J290" s="8">
        <f>Table1[[#This Row],[PartyAVotes]]/Table1[[#This Row],[RegisteredVoters]]</f>
        <v>0.49561403508771928</v>
      </c>
      <c r="K290" s="8">
        <f>Table1[[#This Row],[PartyBVotes]]/Table1[[#This Row],[RegisteredVoters]]</f>
        <v>0.47368421052631576</v>
      </c>
      <c r="L290" s="8">
        <f>Table1[[#This Row],[PartyCVotes]]/Table1[[#This Row],[RegisteredVoters]]</f>
        <v>1.7543859649122806E-2</v>
      </c>
      <c r="M290">
        <f>ABS(Table1[[#This Row],[PartyAVotes]]-Table1[[#This Row],[PartyBVotes]])</f>
        <v>25</v>
      </c>
      <c r="N290" s="11">
        <f>Table1[[#This Row],[TotalVotesCast]]/Table1[[#This Row],[RegisteredVoters]]</f>
        <v>0.98684210526315785</v>
      </c>
      <c r="O290" t="str">
        <f>IF(Table1[[#This Row],[RegisteredVoters]]=Table1[[#This Row],[TotalVotesCast]],"Match","")</f>
        <v/>
      </c>
    </row>
    <row r="291" spans="1:15" ht="13.2">
      <c r="A291" s="1" t="s">
        <v>354</v>
      </c>
      <c r="B291" t="s">
        <v>21</v>
      </c>
      <c r="C291" t="s">
        <v>23</v>
      </c>
      <c r="D291" t="s">
        <v>286</v>
      </c>
      <c r="E291">
        <v>1200</v>
      </c>
      <c r="F291">
        <v>595</v>
      </c>
      <c r="G291">
        <v>570</v>
      </c>
      <c r="H291">
        <v>20</v>
      </c>
      <c r="I291">
        <v>1185</v>
      </c>
      <c r="J291" s="8">
        <f>Table1[[#This Row],[PartyAVotes]]/Table1[[#This Row],[RegisteredVoters]]</f>
        <v>0.49583333333333335</v>
      </c>
      <c r="K291" s="8">
        <f>Table1[[#This Row],[PartyBVotes]]/Table1[[#This Row],[RegisteredVoters]]</f>
        <v>0.47499999999999998</v>
      </c>
      <c r="L291" s="8">
        <f>Table1[[#This Row],[PartyCVotes]]/Table1[[#This Row],[RegisteredVoters]]</f>
        <v>1.6666666666666666E-2</v>
      </c>
      <c r="M291">
        <f>ABS(Table1[[#This Row],[PartyAVotes]]-Table1[[#This Row],[PartyBVotes]])</f>
        <v>25</v>
      </c>
      <c r="N291" s="11">
        <f>Table1[[#This Row],[TotalVotesCast]]/Table1[[#This Row],[RegisteredVoters]]</f>
        <v>0.98750000000000004</v>
      </c>
      <c r="O291" t="str">
        <f>IF(Table1[[#This Row],[RegisteredVoters]]=Table1[[#This Row],[TotalVotesCast]],"Match","")</f>
        <v/>
      </c>
    </row>
    <row r="292" spans="1:15" ht="13.2">
      <c r="A292" s="1" t="s">
        <v>355</v>
      </c>
      <c r="B292" t="s">
        <v>10</v>
      </c>
      <c r="C292" t="s">
        <v>11</v>
      </c>
      <c r="D292" t="s">
        <v>322</v>
      </c>
      <c r="E292">
        <v>750</v>
      </c>
      <c r="F292">
        <v>365</v>
      </c>
      <c r="G292">
        <v>345</v>
      </c>
      <c r="H292">
        <v>15</v>
      </c>
      <c r="I292">
        <v>725</v>
      </c>
      <c r="J292" s="8">
        <f>Table1[[#This Row],[PartyAVotes]]/Table1[[#This Row],[RegisteredVoters]]</f>
        <v>0.48666666666666669</v>
      </c>
      <c r="K292" s="8">
        <f>Table1[[#This Row],[PartyBVotes]]/Table1[[#This Row],[RegisteredVoters]]</f>
        <v>0.46</v>
      </c>
      <c r="L292" s="8">
        <f>Table1[[#This Row],[PartyCVotes]]/Table1[[#This Row],[RegisteredVoters]]</f>
        <v>0.02</v>
      </c>
      <c r="M292">
        <f>ABS(Table1[[#This Row],[PartyAVotes]]-Table1[[#This Row],[PartyBVotes]])</f>
        <v>20</v>
      </c>
      <c r="N292" s="11">
        <f>Table1[[#This Row],[TotalVotesCast]]/Table1[[#This Row],[RegisteredVoters]]</f>
        <v>0.96666666666666667</v>
      </c>
      <c r="O292" t="str">
        <f>IF(Table1[[#This Row],[RegisteredVoters]]=Table1[[#This Row],[TotalVotesCast]],"Match","")</f>
        <v/>
      </c>
    </row>
    <row r="293" spans="1:15" ht="13.2">
      <c r="A293" s="1" t="s">
        <v>356</v>
      </c>
      <c r="B293" t="s">
        <v>15</v>
      </c>
      <c r="C293" t="s">
        <v>16</v>
      </c>
      <c r="D293" t="s">
        <v>322</v>
      </c>
      <c r="E293">
        <v>1040</v>
      </c>
      <c r="F293">
        <v>515</v>
      </c>
      <c r="G293">
        <v>495</v>
      </c>
      <c r="H293">
        <v>20</v>
      </c>
      <c r="I293">
        <v>1030</v>
      </c>
      <c r="J293" s="8">
        <f>Table1[[#This Row],[PartyAVotes]]/Table1[[#This Row],[RegisteredVoters]]</f>
        <v>0.49519230769230771</v>
      </c>
      <c r="K293" s="8">
        <f>Table1[[#This Row],[PartyBVotes]]/Table1[[#This Row],[RegisteredVoters]]</f>
        <v>0.47596153846153844</v>
      </c>
      <c r="L293" s="8">
        <f>Table1[[#This Row],[PartyCVotes]]/Table1[[#This Row],[RegisteredVoters]]</f>
        <v>1.9230769230769232E-2</v>
      </c>
      <c r="M293">
        <f>ABS(Table1[[#This Row],[PartyAVotes]]-Table1[[#This Row],[PartyBVotes]])</f>
        <v>20</v>
      </c>
      <c r="N293" s="11">
        <f>Table1[[#This Row],[TotalVotesCast]]/Table1[[#This Row],[RegisteredVoters]]</f>
        <v>0.99038461538461542</v>
      </c>
      <c r="O293" t="str">
        <f>IF(Table1[[#This Row],[RegisteredVoters]]=Table1[[#This Row],[TotalVotesCast]],"Match","")</f>
        <v/>
      </c>
    </row>
    <row r="294" spans="1:15" ht="13.2">
      <c r="A294" s="1" t="s">
        <v>357</v>
      </c>
      <c r="B294" t="s">
        <v>18</v>
      </c>
      <c r="C294" t="s">
        <v>20</v>
      </c>
      <c r="D294" t="s">
        <v>358</v>
      </c>
      <c r="E294">
        <v>1110</v>
      </c>
      <c r="F294">
        <v>550</v>
      </c>
      <c r="G294">
        <v>530</v>
      </c>
      <c r="H294">
        <v>15</v>
      </c>
      <c r="I294">
        <v>1095</v>
      </c>
      <c r="J294" s="8">
        <f>Table1[[#This Row],[PartyAVotes]]/Table1[[#This Row],[RegisteredVoters]]</f>
        <v>0.49549549549549549</v>
      </c>
      <c r="K294" s="8">
        <f>Table1[[#This Row],[PartyBVotes]]/Table1[[#This Row],[RegisteredVoters]]</f>
        <v>0.47747747747747749</v>
      </c>
      <c r="L294" s="8">
        <f>Table1[[#This Row],[PartyCVotes]]/Table1[[#This Row],[RegisteredVoters]]</f>
        <v>1.3513513513513514E-2</v>
      </c>
      <c r="M294">
        <f>ABS(Table1[[#This Row],[PartyAVotes]]-Table1[[#This Row],[PartyBVotes]])</f>
        <v>20</v>
      </c>
      <c r="N294" s="11">
        <f>Table1[[#This Row],[TotalVotesCast]]/Table1[[#This Row],[RegisteredVoters]]</f>
        <v>0.98648648648648651</v>
      </c>
      <c r="O294" t="str">
        <f>IF(Table1[[#This Row],[RegisteredVoters]]=Table1[[#This Row],[TotalVotesCast]],"Match","")</f>
        <v/>
      </c>
    </row>
    <row r="295" spans="1:15" ht="13.2">
      <c r="A295" s="1" t="s">
        <v>359</v>
      </c>
      <c r="B295" t="s">
        <v>21</v>
      </c>
      <c r="C295" t="s">
        <v>22</v>
      </c>
      <c r="D295" t="s">
        <v>313</v>
      </c>
      <c r="E295">
        <v>1390</v>
      </c>
      <c r="F295">
        <v>680</v>
      </c>
      <c r="G295">
        <v>650</v>
      </c>
      <c r="H295">
        <v>25</v>
      </c>
      <c r="I295">
        <v>1355</v>
      </c>
      <c r="J295" s="8">
        <f>Table1[[#This Row],[PartyAVotes]]/Table1[[#This Row],[RegisteredVoters]]</f>
        <v>0.48920863309352519</v>
      </c>
      <c r="K295" s="8">
        <f>Table1[[#This Row],[PartyBVotes]]/Table1[[#This Row],[RegisteredVoters]]</f>
        <v>0.46762589928057552</v>
      </c>
      <c r="L295" s="8">
        <f>Table1[[#This Row],[PartyCVotes]]/Table1[[#This Row],[RegisteredVoters]]</f>
        <v>1.7985611510791366E-2</v>
      </c>
      <c r="M295">
        <f>ABS(Table1[[#This Row],[PartyAVotes]]-Table1[[#This Row],[PartyBVotes]])</f>
        <v>30</v>
      </c>
      <c r="N295" s="11">
        <f>Table1[[#This Row],[TotalVotesCast]]/Table1[[#This Row],[RegisteredVoters]]</f>
        <v>0.97482014388489213</v>
      </c>
      <c r="O295" t="str">
        <f>IF(Table1[[#This Row],[RegisteredVoters]]=Table1[[#This Row],[TotalVotesCast]],"Match","")</f>
        <v/>
      </c>
    </row>
    <row r="296" spans="1:15" ht="13.2">
      <c r="A296" s="1" t="s">
        <v>360</v>
      </c>
      <c r="B296" t="s">
        <v>10</v>
      </c>
      <c r="C296" t="s">
        <v>14</v>
      </c>
      <c r="D296" t="s">
        <v>304</v>
      </c>
      <c r="E296">
        <v>820</v>
      </c>
      <c r="F296">
        <v>405</v>
      </c>
      <c r="G296">
        <v>385</v>
      </c>
      <c r="H296">
        <v>15</v>
      </c>
      <c r="I296">
        <v>805</v>
      </c>
      <c r="J296" s="8">
        <f>Table1[[#This Row],[PartyAVotes]]/Table1[[#This Row],[RegisteredVoters]]</f>
        <v>0.49390243902439024</v>
      </c>
      <c r="K296" s="8">
        <f>Table1[[#This Row],[PartyBVotes]]/Table1[[#This Row],[RegisteredVoters]]</f>
        <v>0.46951219512195119</v>
      </c>
      <c r="L296" s="8">
        <f>Table1[[#This Row],[PartyCVotes]]/Table1[[#This Row],[RegisteredVoters]]</f>
        <v>1.8292682926829267E-2</v>
      </c>
      <c r="M296">
        <f>ABS(Table1[[#This Row],[PartyAVotes]]-Table1[[#This Row],[PartyBVotes]])</f>
        <v>20</v>
      </c>
      <c r="N296" s="11">
        <f>Table1[[#This Row],[TotalVotesCast]]/Table1[[#This Row],[RegisteredVoters]]</f>
        <v>0.98170731707317072</v>
      </c>
      <c r="O296" t="str">
        <f>IF(Table1[[#This Row],[RegisteredVoters]]=Table1[[#This Row],[TotalVotesCast]],"Match","")</f>
        <v/>
      </c>
    </row>
    <row r="297" spans="1:15" ht="13.2">
      <c r="A297" s="1" t="s">
        <v>361</v>
      </c>
      <c r="B297" t="s">
        <v>15</v>
      </c>
      <c r="C297" t="s">
        <v>17</v>
      </c>
      <c r="D297" t="s">
        <v>286</v>
      </c>
      <c r="E297">
        <v>880</v>
      </c>
      <c r="F297">
        <v>435</v>
      </c>
      <c r="G297">
        <v>415</v>
      </c>
      <c r="H297">
        <v>15</v>
      </c>
      <c r="I297">
        <v>865</v>
      </c>
      <c r="J297" s="8">
        <f>Table1[[#This Row],[PartyAVotes]]/Table1[[#This Row],[RegisteredVoters]]</f>
        <v>0.49431818181818182</v>
      </c>
      <c r="K297" s="8">
        <f>Table1[[#This Row],[PartyBVotes]]/Table1[[#This Row],[RegisteredVoters]]</f>
        <v>0.47159090909090912</v>
      </c>
      <c r="L297" s="8">
        <f>Table1[[#This Row],[PartyCVotes]]/Table1[[#This Row],[RegisteredVoters]]</f>
        <v>1.7045454545454544E-2</v>
      </c>
      <c r="M297">
        <f>ABS(Table1[[#This Row],[PartyAVotes]]-Table1[[#This Row],[PartyBVotes]])</f>
        <v>20</v>
      </c>
      <c r="N297" s="11">
        <f>Table1[[#This Row],[TotalVotesCast]]/Table1[[#This Row],[RegisteredVoters]]</f>
        <v>0.98295454545454541</v>
      </c>
      <c r="O297" t="str">
        <f>IF(Table1[[#This Row],[RegisteredVoters]]=Table1[[#This Row],[TotalVotesCast]],"Match","")</f>
        <v/>
      </c>
    </row>
    <row r="298" spans="1:15" ht="13.2">
      <c r="A298" s="1" t="s">
        <v>362</v>
      </c>
      <c r="B298" t="s">
        <v>18</v>
      </c>
      <c r="C298" t="s">
        <v>19</v>
      </c>
      <c r="D298" t="s">
        <v>313</v>
      </c>
      <c r="E298">
        <v>1150</v>
      </c>
      <c r="F298">
        <v>570</v>
      </c>
      <c r="G298">
        <v>545</v>
      </c>
      <c r="H298">
        <v>20</v>
      </c>
      <c r="I298">
        <v>1135</v>
      </c>
      <c r="J298" s="8">
        <f>Table1[[#This Row],[PartyAVotes]]/Table1[[#This Row],[RegisteredVoters]]</f>
        <v>0.4956521739130435</v>
      </c>
      <c r="K298" s="8">
        <f>Table1[[#This Row],[PartyBVotes]]/Table1[[#This Row],[RegisteredVoters]]</f>
        <v>0.47391304347826085</v>
      </c>
      <c r="L298" s="8">
        <f>Table1[[#This Row],[PartyCVotes]]/Table1[[#This Row],[RegisteredVoters]]</f>
        <v>1.7391304347826087E-2</v>
      </c>
      <c r="M298">
        <f>ABS(Table1[[#This Row],[PartyAVotes]]-Table1[[#This Row],[PartyBVotes]])</f>
        <v>25</v>
      </c>
      <c r="N298" s="11">
        <f>Table1[[#This Row],[TotalVotesCast]]/Table1[[#This Row],[RegisteredVoters]]</f>
        <v>0.9869565217391304</v>
      </c>
      <c r="O298" t="str">
        <f>IF(Table1[[#This Row],[RegisteredVoters]]=Table1[[#This Row],[TotalVotesCast]],"Match","")</f>
        <v/>
      </c>
    </row>
    <row r="299" spans="1:15" ht="13.2">
      <c r="A299" s="1" t="s">
        <v>363</v>
      </c>
      <c r="B299" t="s">
        <v>21</v>
      </c>
      <c r="C299" t="s">
        <v>23</v>
      </c>
      <c r="D299" t="s">
        <v>295</v>
      </c>
      <c r="E299">
        <v>1210</v>
      </c>
      <c r="F299">
        <v>600</v>
      </c>
      <c r="G299">
        <v>575</v>
      </c>
      <c r="H299">
        <v>20</v>
      </c>
      <c r="I299">
        <v>1195</v>
      </c>
      <c r="J299" s="8">
        <f>Table1[[#This Row],[PartyAVotes]]/Table1[[#This Row],[RegisteredVoters]]</f>
        <v>0.49586776859504134</v>
      </c>
      <c r="K299" s="8">
        <f>Table1[[#This Row],[PartyBVotes]]/Table1[[#This Row],[RegisteredVoters]]</f>
        <v>0.47520661157024796</v>
      </c>
      <c r="L299" s="8">
        <f>Table1[[#This Row],[PartyCVotes]]/Table1[[#This Row],[RegisteredVoters]]</f>
        <v>1.6528925619834711E-2</v>
      </c>
      <c r="M299">
        <f>ABS(Table1[[#This Row],[PartyAVotes]]-Table1[[#This Row],[PartyBVotes]])</f>
        <v>25</v>
      </c>
      <c r="N299" s="11">
        <f>Table1[[#This Row],[TotalVotesCast]]/Table1[[#This Row],[RegisteredVoters]]</f>
        <v>0.98760330578512401</v>
      </c>
      <c r="O299" t="str">
        <f>IF(Table1[[#This Row],[RegisteredVoters]]=Table1[[#This Row],[TotalVotesCast]],"Match","")</f>
        <v/>
      </c>
    </row>
    <row r="300" spans="1:15" ht="13.2">
      <c r="A300" s="1" t="s">
        <v>364</v>
      </c>
      <c r="B300" t="s">
        <v>10</v>
      </c>
      <c r="C300" t="s">
        <v>11</v>
      </c>
      <c r="D300" t="s">
        <v>331</v>
      </c>
      <c r="E300">
        <v>760</v>
      </c>
      <c r="F300">
        <v>370</v>
      </c>
      <c r="G300">
        <v>350</v>
      </c>
      <c r="H300">
        <v>15</v>
      </c>
      <c r="I300">
        <v>735</v>
      </c>
      <c r="J300" s="8">
        <f>Table1[[#This Row],[PartyAVotes]]/Table1[[#This Row],[RegisteredVoters]]</f>
        <v>0.48684210526315791</v>
      </c>
      <c r="K300" s="8">
        <f>Table1[[#This Row],[PartyBVotes]]/Table1[[#This Row],[RegisteredVoters]]</f>
        <v>0.46052631578947367</v>
      </c>
      <c r="L300" s="8">
        <f>Table1[[#This Row],[PartyCVotes]]/Table1[[#This Row],[RegisteredVoters]]</f>
        <v>1.9736842105263157E-2</v>
      </c>
      <c r="M300">
        <f>ABS(Table1[[#This Row],[PartyAVotes]]-Table1[[#This Row],[PartyBVotes]])</f>
        <v>20</v>
      </c>
      <c r="N300" s="11">
        <f>Table1[[#This Row],[TotalVotesCast]]/Table1[[#This Row],[RegisteredVoters]]</f>
        <v>0.96710526315789469</v>
      </c>
      <c r="O300" t="str">
        <f>IF(Table1[[#This Row],[RegisteredVoters]]=Table1[[#This Row],[TotalVotesCast]],"Match","")</f>
        <v/>
      </c>
    </row>
    <row r="301" spans="1:15" ht="13.2">
      <c r="A301" s="1" t="s">
        <v>365</v>
      </c>
      <c r="B301" t="s">
        <v>15</v>
      </c>
      <c r="C301" t="s">
        <v>16</v>
      </c>
      <c r="D301" t="s">
        <v>331</v>
      </c>
      <c r="E301">
        <v>1050</v>
      </c>
      <c r="F301">
        <v>520</v>
      </c>
      <c r="G301">
        <v>500</v>
      </c>
      <c r="H301">
        <v>20</v>
      </c>
      <c r="I301">
        <v>1040</v>
      </c>
      <c r="J301" s="8">
        <f>Table1[[#This Row],[PartyAVotes]]/Table1[[#This Row],[RegisteredVoters]]</f>
        <v>0.49523809523809526</v>
      </c>
      <c r="K301" s="8">
        <f>Table1[[#This Row],[PartyBVotes]]/Table1[[#This Row],[RegisteredVoters]]</f>
        <v>0.47619047619047616</v>
      </c>
      <c r="L301" s="8">
        <f>Table1[[#This Row],[PartyCVotes]]/Table1[[#This Row],[RegisteredVoters]]</f>
        <v>1.9047619047619049E-2</v>
      </c>
      <c r="M301">
        <f>ABS(Table1[[#This Row],[PartyAVotes]]-Table1[[#This Row],[PartyBVotes]])</f>
        <v>20</v>
      </c>
      <c r="N301" s="11">
        <f>Table1[[#This Row],[TotalVotesCast]]/Table1[[#This Row],[RegisteredVoters]]</f>
        <v>0.99047619047619051</v>
      </c>
      <c r="O301" t="str">
        <f>IF(Table1[[#This Row],[RegisteredVoters]]=Table1[[#This Row],[TotalVotesCast]],"Match","")</f>
        <v/>
      </c>
    </row>
    <row r="302" spans="1:15" ht="13.2">
      <c r="A302" s="1" t="s">
        <v>366</v>
      </c>
      <c r="B302" t="s">
        <v>18</v>
      </c>
      <c r="C302" t="s">
        <v>20</v>
      </c>
      <c r="D302" t="s">
        <v>367</v>
      </c>
      <c r="E302">
        <v>1120</v>
      </c>
      <c r="F302">
        <v>555</v>
      </c>
      <c r="G302">
        <v>535</v>
      </c>
      <c r="H302">
        <v>15</v>
      </c>
      <c r="I302">
        <v>1105</v>
      </c>
      <c r="J302" s="8">
        <f>Table1[[#This Row],[PartyAVotes]]/Table1[[#This Row],[RegisteredVoters]]</f>
        <v>0.4955357142857143</v>
      </c>
      <c r="K302" s="8">
        <f>Table1[[#This Row],[PartyBVotes]]/Table1[[#This Row],[RegisteredVoters]]</f>
        <v>0.47767857142857145</v>
      </c>
      <c r="L302" s="8">
        <f>Table1[[#This Row],[PartyCVotes]]/Table1[[#This Row],[RegisteredVoters]]</f>
        <v>1.3392857142857142E-2</v>
      </c>
      <c r="M302">
        <f>ABS(Table1[[#This Row],[PartyAVotes]]-Table1[[#This Row],[PartyBVotes]])</f>
        <v>20</v>
      </c>
      <c r="N302" s="11">
        <f>Table1[[#This Row],[TotalVotesCast]]/Table1[[#This Row],[RegisteredVoters]]</f>
        <v>0.9866071428571429</v>
      </c>
      <c r="O302" t="str">
        <f>IF(Table1[[#This Row],[RegisteredVoters]]=Table1[[#This Row],[TotalVotesCast]],"Match","")</f>
        <v/>
      </c>
    </row>
    <row r="303" spans="1:15" ht="13.2">
      <c r="A303" s="1" t="s">
        <v>368</v>
      </c>
      <c r="B303" t="s">
        <v>21</v>
      </c>
      <c r="C303" t="s">
        <v>22</v>
      </c>
      <c r="D303" t="s">
        <v>322</v>
      </c>
      <c r="E303">
        <v>1400</v>
      </c>
      <c r="F303">
        <v>685</v>
      </c>
      <c r="G303">
        <v>655</v>
      </c>
      <c r="H303">
        <v>25</v>
      </c>
      <c r="I303">
        <v>1365</v>
      </c>
      <c r="J303" s="8">
        <f>Table1[[#This Row],[PartyAVotes]]/Table1[[#This Row],[RegisteredVoters]]</f>
        <v>0.48928571428571427</v>
      </c>
      <c r="K303" s="8">
        <f>Table1[[#This Row],[PartyBVotes]]/Table1[[#This Row],[RegisteredVoters]]</f>
        <v>0.46785714285714286</v>
      </c>
      <c r="L303" s="8">
        <f>Table1[[#This Row],[PartyCVotes]]/Table1[[#This Row],[RegisteredVoters]]</f>
        <v>1.7857142857142856E-2</v>
      </c>
      <c r="M303">
        <f>ABS(Table1[[#This Row],[PartyAVotes]]-Table1[[#This Row],[PartyBVotes]])</f>
        <v>30</v>
      </c>
      <c r="N303" s="11">
        <f>Table1[[#This Row],[TotalVotesCast]]/Table1[[#This Row],[RegisteredVoters]]</f>
        <v>0.97499999999999998</v>
      </c>
      <c r="O303" t="str">
        <f>IF(Table1[[#This Row],[RegisteredVoters]]=Table1[[#This Row],[TotalVotesCast]],"Match","")</f>
        <v/>
      </c>
    </row>
    <row r="304" spans="1:15" ht="13.2">
      <c r="A304" s="1" t="s">
        <v>369</v>
      </c>
      <c r="B304" t="s">
        <v>10</v>
      </c>
      <c r="C304" t="s">
        <v>11</v>
      </c>
      <c r="D304" t="s">
        <v>340</v>
      </c>
      <c r="E304">
        <v>500</v>
      </c>
      <c r="F304">
        <v>240</v>
      </c>
      <c r="G304">
        <v>220</v>
      </c>
      <c r="H304">
        <v>10</v>
      </c>
      <c r="I304">
        <v>470</v>
      </c>
      <c r="J304" s="8">
        <f>Table1[[#This Row],[PartyAVotes]]/Table1[[#This Row],[RegisteredVoters]]</f>
        <v>0.48</v>
      </c>
      <c r="K304" s="8">
        <f>Table1[[#This Row],[PartyBVotes]]/Table1[[#This Row],[RegisteredVoters]]</f>
        <v>0.44</v>
      </c>
      <c r="L304" s="8">
        <f>Table1[[#This Row],[PartyCVotes]]/Table1[[#This Row],[RegisteredVoters]]</f>
        <v>0.02</v>
      </c>
      <c r="M304">
        <f>ABS(Table1[[#This Row],[PartyAVotes]]-Table1[[#This Row],[PartyBVotes]])</f>
        <v>20</v>
      </c>
      <c r="N304" s="11">
        <f>Table1[[#This Row],[TotalVotesCast]]/Table1[[#This Row],[RegisteredVoters]]</f>
        <v>0.94</v>
      </c>
      <c r="O304" t="str">
        <f>IF(Table1[[#This Row],[RegisteredVoters]]=Table1[[#This Row],[TotalVotesCast]],"Match","")</f>
        <v/>
      </c>
    </row>
    <row r="305" spans="1:15" ht="13.2">
      <c r="A305" s="1" t="s">
        <v>370</v>
      </c>
      <c r="B305" t="s">
        <v>15</v>
      </c>
      <c r="C305" t="s">
        <v>16</v>
      </c>
      <c r="D305" t="s">
        <v>340</v>
      </c>
      <c r="E305">
        <v>800</v>
      </c>
      <c r="F305">
        <v>390</v>
      </c>
      <c r="G305">
        <v>370</v>
      </c>
      <c r="H305">
        <v>15</v>
      </c>
      <c r="I305">
        <v>775</v>
      </c>
      <c r="J305" s="8">
        <f>Table1[[#This Row],[PartyAVotes]]/Table1[[#This Row],[RegisteredVoters]]</f>
        <v>0.48749999999999999</v>
      </c>
      <c r="K305" s="8">
        <f>Table1[[#This Row],[PartyBVotes]]/Table1[[#This Row],[RegisteredVoters]]</f>
        <v>0.46250000000000002</v>
      </c>
      <c r="L305" s="8">
        <f>Table1[[#This Row],[PartyCVotes]]/Table1[[#This Row],[RegisteredVoters]]</f>
        <v>1.8749999999999999E-2</v>
      </c>
      <c r="M305">
        <f>ABS(Table1[[#This Row],[PartyAVotes]]-Table1[[#This Row],[PartyBVotes]])</f>
        <v>20</v>
      </c>
      <c r="N305" s="11">
        <f>Table1[[#This Row],[TotalVotesCast]]/Table1[[#This Row],[RegisteredVoters]]</f>
        <v>0.96875</v>
      </c>
      <c r="O305" t="str">
        <f>IF(Table1[[#This Row],[RegisteredVoters]]=Table1[[#This Row],[TotalVotesCast]],"Match","")</f>
        <v/>
      </c>
    </row>
    <row r="306" spans="1:15" ht="13.2">
      <c r="A306" s="1" t="s">
        <v>371</v>
      </c>
      <c r="B306" t="s">
        <v>18</v>
      </c>
      <c r="C306" t="s">
        <v>20</v>
      </c>
      <c r="D306" t="s">
        <v>372</v>
      </c>
      <c r="E306">
        <v>890</v>
      </c>
      <c r="F306">
        <v>440</v>
      </c>
      <c r="G306">
        <v>420</v>
      </c>
      <c r="H306">
        <v>15</v>
      </c>
      <c r="I306">
        <v>875</v>
      </c>
      <c r="J306" s="8">
        <f>Table1[[#This Row],[PartyAVotes]]/Table1[[#This Row],[RegisteredVoters]]</f>
        <v>0.4943820224719101</v>
      </c>
      <c r="K306" s="8">
        <f>Table1[[#This Row],[PartyBVotes]]/Table1[[#This Row],[RegisteredVoters]]</f>
        <v>0.47191011235955055</v>
      </c>
      <c r="L306" s="8">
        <f>Table1[[#This Row],[PartyCVotes]]/Table1[[#This Row],[RegisteredVoters]]</f>
        <v>1.6853932584269662E-2</v>
      </c>
      <c r="M306">
        <f>ABS(Table1[[#This Row],[PartyAVotes]]-Table1[[#This Row],[PartyBVotes]])</f>
        <v>20</v>
      </c>
      <c r="N306" s="11">
        <f>Table1[[#This Row],[TotalVotesCast]]/Table1[[#This Row],[RegisteredVoters]]</f>
        <v>0.9831460674157303</v>
      </c>
      <c r="O306" t="str">
        <f>IF(Table1[[#This Row],[RegisteredVoters]]=Table1[[#This Row],[TotalVotesCast]],"Match","")</f>
        <v/>
      </c>
    </row>
    <row r="307" spans="1:15" ht="13.2">
      <c r="A307" s="1" t="s">
        <v>373</v>
      </c>
      <c r="B307" t="s">
        <v>21</v>
      </c>
      <c r="C307" t="s">
        <v>22</v>
      </c>
      <c r="D307" t="s">
        <v>331</v>
      </c>
      <c r="E307">
        <v>1150</v>
      </c>
      <c r="F307">
        <v>560</v>
      </c>
      <c r="G307">
        <v>530</v>
      </c>
      <c r="H307">
        <v>25</v>
      </c>
      <c r="I307">
        <v>1115</v>
      </c>
      <c r="J307" s="8">
        <f>Table1[[#This Row],[PartyAVotes]]/Table1[[#This Row],[RegisteredVoters]]</f>
        <v>0.48695652173913045</v>
      </c>
      <c r="K307" s="8">
        <f>Table1[[#This Row],[PartyBVotes]]/Table1[[#This Row],[RegisteredVoters]]</f>
        <v>0.46086956521739131</v>
      </c>
      <c r="L307" s="8">
        <f>Table1[[#This Row],[PartyCVotes]]/Table1[[#This Row],[RegisteredVoters]]</f>
        <v>2.1739130434782608E-2</v>
      </c>
      <c r="M307">
        <f>ABS(Table1[[#This Row],[PartyAVotes]]-Table1[[#This Row],[PartyBVotes]])</f>
        <v>30</v>
      </c>
      <c r="N307" s="11">
        <f>Table1[[#This Row],[TotalVotesCast]]/Table1[[#This Row],[RegisteredVoters]]</f>
        <v>0.9695652173913043</v>
      </c>
      <c r="O307" t="str">
        <f>IF(Table1[[#This Row],[RegisteredVoters]]=Table1[[#This Row],[TotalVotesCast]],"Match","")</f>
        <v/>
      </c>
    </row>
    <row r="308" spans="1:15" ht="13.2">
      <c r="A308" s="1" t="s">
        <v>374</v>
      </c>
      <c r="B308" t="s">
        <v>10</v>
      </c>
      <c r="C308" t="s">
        <v>14</v>
      </c>
      <c r="D308" t="s">
        <v>313</v>
      </c>
      <c r="E308">
        <v>600</v>
      </c>
      <c r="F308">
        <v>290</v>
      </c>
      <c r="G308">
        <v>270</v>
      </c>
      <c r="H308">
        <v>15</v>
      </c>
      <c r="I308">
        <v>575</v>
      </c>
      <c r="J308" s="8">
        <f>Table1[[#This Row],[PartyAVotes]]/Table1[[#This Row],[RegisteredVoters]]</f>
        <v>0.48333333333333334</v>
      </c>
      <c r="K308" s="8">
        <f>Table1[[#This Row],[PartyBVotes]]/Table1[[#This Row],[RegisteredVoters]]</f>
        <v>0.45</v>
      </c>
      <c r="L308" s="8">
        <f>Table1[[#This Row],[PartyCVotes]]/Table1[[#This Row],[RegisteredVoters]]</f>
        <v>2.5000000000000001E-2</v>
      </c>
      <c r="M308">
        <f>ABS(Table1[[#This Row],[PartyAVotes]]-Table1[[#This Row],[PartyBVotes]])</f>
        <v>20</v>
      </c>
      <c r="N308" s="11">
        <f>Table1[[#This Row],[TotalVotesCast]]/Table1[[#This Row],[RegisteredVoters]]</f>
        <v>0.95833333333333337</v>
      </c>
      <c r="O308" t="str">
        <f>IF(Table1[[#This Row],[RegisteredVoters]]=Table1[[#This Row],[TotalVotesCast]],"Match","")</f>
        <v/>
      </c>
    </row>
    <row r="309" spans="1:15" ht="13.2">
      <c r="A309" s="1" t="s">
        <v>375</v>
      </c>
      <c r="B309" t="s">
        <v>15</v>
      </c>
      <c r="C309" t="s">
        <v>17</v>
      </c>
      <c r="D309" t="s">
        <v>295</v>
      </c>
      <c r="E309">
        <v>650</v>
      </c>
      <c r="F309">
        <v>320</v>
      </c>
      <c r="G309">
        <v>300</v>
      </c>
      <c r="H309">
        <v>15</v>
      </c>
      <c r="I309">
        <v>635</v>
      </c>
      <c r="J309" s="8">
        <f>Table1[[#This Row],[PartyAVotes]]/Table1[[#This Row],[RegisteredVoters]]</f>
        <v>0.49230769230769234</v>
      </c>
      <c r="K309" s="8">
        <f>Table1[[#This Row],[PartyBVotes]]/Table1[[#This Row],[RegisteredVoters]]</f>
        <v>0.46153846153846156</v>
      </c>
      <c r="L309" s="8">
        <f>Table1[[#This Row],[PartyCVotes]]/Table1[[#This Row],[RegisteredVoters]]</f>
        <v>2.3076923076923078E-2</v>
      </c>
      <c r="M309">
        <f>ABS(Table1[[#This Row],[PartyAVotes]]-Table1[[#This Row],[PartyBVotes]])</f>
        <v>20</v>
      </c>
      <c r="N309" s="11">
        <f>Table1[[#This Row],[TotalVotesCast]]/Table1[[#This Row],[RegisteredVoters]]</f>
        <v>0.97692307692307689</v>
      </c>
      <c r="O309" t="str">
        <f>IF(Table1[[#This Row],[RegisteredVoters]]=Table1[[#This Row],[TotalVotesCast]],"Match","")</f>
        <v/>
      </c>
    </row>
    <row r="310" spans="1:15" ht="13.2">
      <c r="A310" s="1" t="s">
        <v>376</v>
      </c>
      <c r="B310" t="s">
        <v>18</v>
      </c>
      <c r="C310" t="s">
        <v>19</v>
      </c>
      <c r="D310" t="s">
        <v>322</v>
      </c>
      <c r="E310">
        <v>920</v>
      </c>
      <c r="F310">
        <v>455</v>
      </c>
      <c r="G310">
        <v>430</v>
      </c>
      <c r="H310">
        <v>20</v>
      </c>
      <c r="I310">
        <v>905</v>
      </c>
      <c r="J310" s="8">
        <f>Table1[[#This Row],[PartyAVotes]]/Table1[[#This Row],[RegisteredVoters]]</f>
        <v>0.49456521739130432</v>
      </c>
      <c r="K310" s="8">
        <f>Table1[[#This Row],[PartyBVotes]]/Table1[[#This Row],[RegisteredVoters]]</f>
        <v>0.46739130434782611</v>
      </c>
      <c r="L310" s="8">
        <f>Table1[[#This Row],[PartyCVotes]]/Table1[[#This Row],[RegisteredVoters]]</f>
        <v>2.1739130434782608E-2</v>
      </c>
      <c r="M310">
        <f>ABS(Table1[[#This Row],[PartyAVotes]]-Table1[[#This Row],[PartyBVotes]])</f>
        <v>25</v>
      </c>
      <c r="N310" s="11">
        <f>Table1[[#This Row],[TotalVotesCast]]/Table1[[#This Row],[RegisteredVoters]]</f>
        <v>0.98369565217391308</v>
      </c>
      <c r="O310" t="str">
        <f>IF(Table1[[#This Row],[RegisteredVoters]]=Table1[[#This Row],[TotalVotesCast]],"Match","")</f>
        <v/>
      </c>
    </row>
    <row r="311" spans="1:15" ht="13.2">
      <c r="A311" s="1" t="s">
        <v>377</v>
      </c>
      <c r="B311" t="s">
        <v>21</v>
      </c>
      <c r="C311" t="s">
        <v>23</v>
      </c>
      <c r="D311" t="s">
        <v>304</v>
      </c>
      <c r="E311">
        <v>980</v>
      </c>
      <c r="F311">
        <v>485</v>
      </c>
      <c r="G311">
        <v>460</v>
      </c>
      <c r="H311">
        <v>20</v>
      </c>
      <c r="I311">
        <v>965</v>
      </c>
      <c r="J311" s="8">
        <f>Table1[[#This Row],[PartyAVotes]]/Table1[[#This Row],[RegisteredVoters]]</f>
        <v>0.49489795918367346</v>
      </c>
      <c r="K311" s="8">
        <f>Table1[[#This Row],[PartyBVotes]]/Table1[[#This Row],[RegisteredVoters]]</f>
        <v>0.46938775510204084</v>
      </c>
      <c r="L311" s="8">
        <f>Table1[[#This Row],[PartyCVotes]]/Table1[[#This Row],[RegisteredVoters]]</f>
        <v>2.0408163265306121E-2</v>
      </c>
      <c r="M311">
        <f>ABS(Table1[[#This Row],[PartyAVotes]]-Table1[[#This Row],[PartyBVotes]])</f>
        <v>25</v>
      </c>
      <c r="N311" s="11">
        <f>Table1[[#This Row],[TotalVotesCast]]/Table1[[#This Row],[RegisteredVoters]]</f>
        <v>0.98469387755102045</v>
      </c>
      <c r="O311" t="str">
        <f>IF(Table1[[#This Row],[RegisteredVoters]]=Table1[[#This Row],[TotalVotesCast]],"Match","")</f>
        <v/>
      </c>
    </row>
    <row r="312" spans="1:15" ht="13.2">
      <c r="A312" s="1" t="s">
        <v>378</v>
      </c>
      <c r="B312" t="s">
        <v>10</v>
      </c>
      <c r="C312" t="s">
        <v>11</v>
      </c>
      <c r="D312" t="s">
        <v>349</v>
      </c>
      <c r="E312">
        <v>510</v>
      </c>
      <c r="F312">
        <v>245</v>
      </c>
      <c r="G312">
        <v>225</v>
      </c>
      <c r="H312">
        <v>10</v>
      </c>
      <c r="I312">
        <v>480</v>
      </c>
      <c r="J312" s="8">
        <f>Table1[[#This Row],[PartyAVotes]]/Table1[[#This Row],[RegisteredVoters]]</f>
        <v>0.48039215686274511</v>
      </c>
      <c r="K312" s="8">
        <f>Table1[[#This Row],[PartyBVotes]]/Table1[[#This Row],[RegisteredVoters]]</f>
        <v>0.44117647058823528</v>
      </c>
      <c r="L312" s="8">
        <f>Table1[[#This Row],[PartyCVotes]]/Table1[[#This Row],[RegisteredVoters]]</f>
        <v>1.9607843137254902E-2</v>
      </c>
      <c r="M312">
        <f>ABS(Table1[[#This Row],[PartyAVotes]]-Table1[[#This Row],[PartyBVotes]])</f>
        <v>20</v>
      </c>
      <c r="N312" s="11">
        <f>Table1[[#This Row],[TotalVotesCast]]/Table1[[#This Row],[RegisteredVoters]]</f>
        <v>0.94117647058823528</v>
      </c>
      <c r="O312" t="str">
        <f>IF(Table1[[#This Row],[RegisteredVoters]]=Table1[[#This Row],[TotalVotesCast]],"Match","")</f>
        <v/>
      </c>
    </row>
    <row r="313" spans="1:15" ht="13.2">
      <c r="A313" s="1" t="s">
        <v>379</v>
      </c>
      <c r="B313" t="s">
        <v>15</v>
      </c>
      <c r="C313" t="s">
        <v>16</v>
      </c>
      <c r="D313" t="s">
        <v>349</v>
      </c>
      <c r="E313">
        <v>810</v>
      </c>
      <c r="F313">
        <v>395</v>
      </c>
      <c r="G313">
        <v>375</v>
      </c>
      <c r="H313">
        <v>15</v>
      </c>
      <c r="I313">
        <v>785</v>
      </c>
      <c r="J313" s="8">
        <f>Table1[[#This Row],[PartyAVotes]]/Table1[[#This Row],[RegisteredVoters]]</f>
        <v>0.48765432098765432</v>
      </c>
      <c r="K313" s="8">
        <f>Table1[[#This Row],[PartyBVotes]]/Table1[[#This Row],[RegisteredVoters]]</f>
        <v>0.46296296296296297</v>
      </c>
      <c r="L313" s="8">
        <f>Table1[[#This Row],[PartyCVotes]]/Table1[[#This Row],[RegisteredVoters]]</f>
        <v>1.8518518518518517E-2</v>
      </c>
      <c r="M313">
        <f>ABS(Table1[[#This Row],[PartyAVotes]]-Table1[[#This Row],[PartyBVotes]])</f>
        <v>20</v>
      </c>
      <c r="N313" s="11">
        <f>Table1[[#This Row],[TotalVotesCast]]/Table1[[#This Row],[RegisteredVoters]]</f>
        <v>0.96913580246913578</v>
      </c>
      <c r="O313" t="str">
        <f>IF(Table1[[#This Row],[RegisteredVoters]]=Table1[[#This Row],[TotalVotesCast]],"Match","")</f>
        <v/>
      </c>
    </row>
    <row r="314" spans="1:15" ht="13.2">
      <c r="A314" s="1" t="s">
        <v>380</v>
      </c>
      <c r="B314" t="s">
        <v>18</v>
      </c>
      <c r="C314" t="s">
        <v>20</v>
      </c>
      <c r="D314" t="s">
        <v>381</v>
      </c>
      <c r="E314">
        <v>900</v>
      </c>
      <c r="F314">
        <v>445</v>
      </c>
      <c r="G314">
        <v>425</v>
      </c>
      <c r="H314">
        <v>15</v>
      </c>
      <c r="I314">
        <v>885</v>
      </c>
      <c r="J314" s="8">
        <f>Table1[[#This Row],[PartyAVotes]]/Table1[[#This Row],[RegisteredVoters]]</f>
        <v>0.49444444444444446</v>
      </c>
      <c r="K314" s="8">
        <f>Table1[[#This Row],[PartyBVotes]]/Table1[[#This Row],[RegisteredVoters]]</f>
        <v>0.47222222222222221</v>
      </c>
      <c r="L314" s="8">
        <f>Table1[[#This Row],[PartyCVotes]]/Table1[[#This Row],[RegisteredVoters]]</f>
        <v>1.6666666666666666E-2</v>
      </c>
      <c r="M314">
        <f>ABS(Table1[[#This Row],[PartyAVotes]]-Table1[[#This Row],[PartyBVotes]])</f>
        <v>20</v>
      </c>
      <c r="N314" s="11">
        <f>Table1[[#This Row],[TotalVotesCast]]/Table1[[#This Row],[RegisteredVoters]]</f>
        <v>0.98333333333333328</v>
      </c>
      <c r="O314" t="str">
        <f>IF(Table1[[#This Row],[RegisteredVoters]]=Table1[[#This Row],[TotalVotesCast]],"Match","")</f>
        <v/>
      </c>
    </row>
    <row r="315" spans="1:15" ht="13.2">
      <c r="A315" s="1" t="s">
        <v>382</v>
      </c>
      <c r="B315" t="s">
        <v>21</v>
      </c>
      <c r="C315" t="s">
        <v>22</v>
      </c>
      <c r="D315" t="s">
        <v>340</v>
      </c>
      <c r="E315">
        <v>1160</v>
      </c>
      <c r="F315">
        <v>565</v>
      </c>
      <c r="G315">
        <v>535</v>
      </c>
      <c r="H315">
        <v>25</v>
      </c>
      <c r="I315">
        <v>1125</v>
      </c>
      <c r="J315" s="8">
        <f>Table1[[#This Row],[PartyAVotes]]/Table1[[#This Row],[RegisteredVoters]]</f>
        <v>0.48706896551724138</v>
      </c>
      <c r="K315" s="8">
        <f>Table1[[#This Row],[PartyBVotes]]/Table1[[#This Row],[RegisteredVoters]]</f>
        <v>0.46120689655172414</v>
      </c>
      <c r="L315" s="8">
        <f>Table1[[#This Row],[PartyCVotes]]/Table1[[#This Row],[RegisteredVoters]]</f>
        <v>2.1551724137931036E-2</v>
      </c>
      <c r="M315">
        <f>ABS(Table1[[#This Row],[PartyAVotes]]-Table1[[#This Row],[PartyBVotes]])</f>
        <v>30</v>
      </c>
      <c r="N315" s="11">
        <f>Table1[[#This Row],[TotalVotesCast]]/Table1[[#This Row],[RegisteredVoters]]</f>
        <v>0.96982758620689657</v>
      </c>
      <c r="O315" t="str">
        <f>IF(Table1[[#This Row],[RegisteredVoters]]=Table1[[#This Row],[TotalVotesCast]],"Match","")</f>
        <v/>
      </c>
    </row>
    <row r="316" spans="1:15" ht="13.2">
      <c r="A316" s="1" t="s">
        <v>383</v>
      </c>
      <c r="B316" t="s">
        <v>10</v>
      </c>
      <c r="C316" t="s">
        <v>14</v>
      </c>
      <c r="D316" t="s">
        <v>322</v>
      </c>
      <c r="E316">
        <v>610</v>
      </c>
      <c r="F316">
        <v>295</v>
      </c>
      <c r="G316">
        <v>275</v>
      </c>
      <c r="H316">
        <v>15</v>
      </c>
      <c r="I316">
        <v>585</v>
      </c>
      <c r="J316" s="8">
        <f>Table1[[#This Row],[PartyAVotes]]/Table1[[#This Row],[RegisteredVoters]]</f>
        <v>0.48360655737704916</v>
      </c>
      <c r="K316" s="8">
        <f>Table1[[#This Row],[PartyBVotes]]/Table1[[#This Row],[RegisteredVoters]]</f>
        <v>0.45081967213114754</v>
      </c>
      <c r="L316" s="8">
        <f>Table1[[#This Row],[PartyCVotes]]/Table1[[#This Row],[RegisteredVoters]]</f>
        <v>2.4590163934426229E-2</v>
      </c>
      <c r="M316">
        <f>ABS(Table1[[#This Row],[PartyAVotes]]-Table1[[#This Row],[PartyBVotes]])</f>
        <v>20</v>
      </c>
      <c r="N316" s="11">
        <f>Table1[[#This Row],[TotalVotesCast]]/Table1[[#This Row],[RegisteredVoters]]</f>
        <v>0.95901639344262291</v>
      </c>
      <c r="O316" t="str">
        <f>IF(Table1[[#This Row],[RegisteredVoters]]=Table1[[#This Row],[TotalVotesCast]],"Match","")</f>
        <v/>
      </c>
    </row>
    <row r="317" spans="1:15" ht="13.2">
      <c r="A317" s="1" t="s">
        <v>384</v>
      </c>
      <c r="B317" t="s">
        <v>15</v>
      </c>
      <c r="C317" t="s">
        <v>17</v>
      </c>
      <c r="D317" t="s">
        <v>304</v>
      </c>
      <c r="E317">
        <v>660</v>
      </c>
      <c r="F317">
        <v>325</v>
      </c>
      <c r="G317">
        <v>305</v>
      </c>
      <c r="H317">
        <v>15</v>
      </c>
      <c r="I317">
        <v>645</v>
      </c>
      <c r="J317" s="8">
        <f>Table1[[#This Row],[PartyAVotes]]/Table1[[#This Row],[RegisteredVoters]]</f>
        <v>0.49242424242424243</v>
      </c>
      <c r="K317" s="8">
        <f>Table1[[#This Row],[PartyBVotes]]/Table1[[#This Row],[RegisteredVoters]]</f>
        <v>0.4621212121212121</v>
      </c>
      <c r="L317" s="8">
        <f>Table1[[#This Row],[PartyCVotes]]/Table1[[#This Row],[RegisteredVoters]]</f>
        <v>2.2727272727272728E-2</v>
      </c>
      <c r="M317">
        <f>ABS(Table1[[#This Row],[PartyAVotes]]-Table1[[#This Row],[PartyBVotes]])</f>
        <v>20</v>
      </c>
      <c r="N317" s="11">
        <f>Table1[[#This Row],[TotalVotesCast]]/Table1[[#This Row],[RegisteredVoters]]</f>
        <v>0.97727272727272729</v>
      </c>
      <c r="O317" t="str">
        <f>IF(Table1[[#This Row],[RegisteredVoters]]=Table1[[#This Row],[TotalVotesCast]],"Match","")</f>
        <v/>
      </c>
    </row>
    <row r="318" spans="1:15" ht="13.2">
      <c r="A318" s="1" t="s">
        <v>385</v>
      </c>
      <c r="B318" t="s">
        <v>18</v>
      </c>
      <c r="C318" t="s">
        <v>19</v>
      </c>
      <c r="D318" t="s">
        <v>331</v>
      </c>
      <c r="E318">
        <v>930</v>
      </c>
      <c r="F318">
        <v>460</v>
      </c>
      <c r="G318">
        <v>435</v>
      </c>
      <c r="H318">
        <v>20</v>
      </c>
      <c r="I318">
        <v>915</v>
      </c>
      <c r="J318" s="8">
        <f>Table1[[#This Row],[PartyAVotes]]/Table1[[#This Row],[RegisteredVoters]]</f>
        <v>0.4946236559139785</v>
      </c>
      <c r="K318" s="8">
        <f>Table1[[#This Row],[PartyBVotes]]/Table1[[#This Row],[RegisteredVoters]]</f>
        <v>0.46774193548387094</v>
      </c>
      <c r="L318" s="8">
        <f>Table1[[#This Row],[PartyCVotes]]/Table1[[#This Row],[RegisteredVoters]]</f>
        <v>2.1505376344086023E-2</v>
      </c>
      <c r="M318">
        <f>ABS(Table1[[#This Row],[PartyAVotes]]-Table1[[#This Row],[PartyBVotes]])</f>
        <v>25</v>
      </c>
      <c r="N318" s="11">
        <f>Table1[[#This Row],[TotalVotesCast]]/Table1[[#This Row],[RegisteredVoters]]</f>
        <v>0.9838709677419355</v>
      </c>
      <c r="O318" t="str">
        <f>IF(Table1[[#This Row],[RegisteredVoters]]=Table1[[#This Row],[TotalVotesCast]],"Match","")</f>
        <v/>
      </c>
    </row>
    <row r="319" spans="1:15" ht="13.2">
      <c r="A319" s="1" t="s">
        <v>386</v>
      </c>
      <c r="B319" t="s">
        <v>21</v>
      </c>
      <c r="C319" t="s">
        <v>23</v>
      </c>
      <c r="D319" t="s">
        <v>313</v>
      </c>
      <c r="E319">
        <v>990</v>
      </c>
      <c r="F319">
        <v>490</v>
      </c>
      <c r="G319">
        <v>465</v>
      </c>
      <c r="H319">
        <v>20</v>
      </c>
      <c r="I319">
        <v>975</v>
      </c>
      <c r="J319" s="8">
        <f>Table1[[#This Row],[PartyAVotes]]/Table1[[#This Row],[RegisteredVoters]]</f>
        <v>0.49494949494949497</v>
      </c>
      <c r="K319" s="8">
        <f>Table1[[#This Row],[PartyBVotes]]/Table1[[#This Row],[RegisteredVoters]]</f>
        <v>0.46969696969696972</v>
      </c>
      <c r="L319" s="8">
        <f>Table1[[#This Row],[PartyCVotes]]/Table1[[#This Row],[RegisteredVoters]]</f>
        <v>2.0202020202020204E-2</v>
      </c>
      <c r="M319">
        <f>ABS(Table1[[#This Row],[PartyAVotes]]-Table1[[#This Row],[PartyBVotes]])</f>
        <v>25</v>
      </c>
      <c r="N319" s="11">
        <f>Table1[[#This Row],[TotalVotesCast]]/Table1[[#This Row],[RegisteredVoters]]</f>
        <v>0.98484848484848486</v>
      </c>
      <c r="O319" t="str">
        <f>IF(Table1[[#This Row],[RegisteredVoters]]=Table1[[#This Row],[TotalVotesCast]],"Match","")</f>
        <v/>
      </c>
    </row>
    <row r="320" spans="1:15" ht="13.2">
      <c r="A320" s="1" t="s">
        <v>387</v>
      </c>
      <c r="B320" t="s">
        <v>10</v>
      </c>
      <c r="C320" t="s">
        <v>11</v>
      </c>
      <c r="D320" t="s">
        <v>358</v>
      </c>
      <c r="E320">
        <v>520</v>
      </c>
      <c r="F320">
        <v>250</v>
      </c>
      <c r="G320">
        <v>230</v>
      </c>
      <c r="H320">
        <v>10</v>
      </c>
      <c r="I320">
        <v>490</v>
      </c>
      <c r="J320" s="8">
        <f>Table1[[#This Row],[PartyAVotes]]/Table1[[#This Row],[RegisteredVoters]]</f>
        <v>0.48076923076923078</v>
      </c>
      <c r="K320" s="8">
        <f>Table1[[#This Row],[PartyBVotes]]/Table1[[#This Row],[RegisteredVoters]]</f>
        <v>0.44230769230769229</v>
      </c>
      <c r="L320" s="8">
        <f>Table1[[#This Row],[PartyCVotes]]/Table1[[#This Row],[RegisteredVoters]]</f>
        <v>1.9230769230769232E-2</v>
      </c>
      <c r="M320">
        <f>ABS(Table1[[#This Row],[PartyAVotes]]-Table1[[#This Row],[PartyBVotes]])</f>
        <v>20</v>
      </c>
      <c r="N320" s="11">
        <f>Table1[[#This Row],[TotalVotesCast]]/Table1[[#This Row],[RegisteredVoters]]</f>
        <v>0.94230769230769229</v>
      </c>
      <c r="O320" t="str">
        <f>IF(Table1[[#This Row],[RegisteredVoters]]=Table1[[#This Row],[TotalVotesCast]],"Match","")</f>
        <v/>
      </c>
    </row>
    <row r="321" spans="1:15" ht="13.2">
      <c r="A321" s="1" t="s">
        <v>388</v>
      </c>
      <c r="B321" t="s">
        <v>15</v>
      </c>
      <c r="C321" t="s">
        <v>16</v>
      </c>
      <c r="D321" t="s">
        <v>358</v>
      </c>
      <c r="E321">
        <v>820</v>
      </c>
      <c r="F321">
        <v>400</v>
      </c>
      <c r="G321">
        <v>380</v>
      </c>
      <c r="H321">
        <v>15</v>
      </c>
      <c r="I321">
        <v>795</v>
      </c>
      <c r="J321" s="8">
        <f>Table1[[#This Row],[PartyAVotes]]/Table1[[#This Row],[RegisteredVoters]]</f>
        <v>0.48780487804878048</v>
      </c>
      <c r="K321" s="8">
        <f>Table1[[#This Row],[PartyBVotes]]/Table1[[#This Row],[RegisteredVoters]]</f>
        <v>0.46341463414634149</v>
      </c>
      <c r="L321" s="8">
        <f>Table1[[#This Row],[PartyCVotes]]/Table1[[#This Row],[RegisteredVoters]]</f>
        <v>1.8292682926829267E-2</v>
      </c>
      <c r="M321">
        <f>ABS(Table1[[#This Row],[PartyAVotes]]-Table1[[#This Row],[PartyBVotes]])</f>
        <v>20</v>
      </c>
      <c r="N321" s="11">
        <f>Table1[[#This Row],[TotalVotesCast]]/Table1[[#This Row],[RegisteredVoters]]</f>
        <v>0.96951219512195119</v>
      </c>
      <c r="O321" t="str">
        <f>IF(Table1[[#This Row],[RegisteredVoters]]=Table1[[#This Row],[TotalVotesCast]],"Match","")</f>
        <v/>
      </c>
    </row>
    <row r="322" spans="1:15" ht="13.2">
      <c r="A322" s="1" t="s">
        <v>389</v>
      </c>
      <c r="B322" t="s">
        <v>18</v>
      </c>
      <c r="C322" t="s">
        <v>20</v>
      </c>
      <c r="D322" t="s">
        <v>390</v>
      </c>
      <c r="E322">
        <v>910</v>
      </c>
      <c r="F322">
        <v>450</v>
      </c>
      <c r="G322">
        <v>430</v>
      </c>
      <c r="H322">
        <v>15</v>
      </c>
      <c r="I322">
        <v>895</v>
      </c>
      <c r="J322" s="8">
        <f>Table1[[#This Row],[PartyAVotes]]/Table1[[#This Row],[RegisteredVoters]]</f>
        <v>0.49450549450549453</v>
      </c>
      <c r="K322" s="8">
        <f>Table1[[#This Row],[PartyBVotes]]/Table1[[#This Row],[RegisteredVoters]]</f>
        <v>0.47252747252747251</v>
      </c>
      <c r="L322" s="8">
        <f>Table1[[#This Row],[PartyCVotes]]/Table1[[#This Row],[RegisteredVoters]]</f>
        <v>1.6483516483516484E-2</v>
      </c>
      <c r="M322">
        <f>ABS(Table1[[#This Row],[PartyAVotes]]-Table1[[#This Row],[PartyBVotes]])</f>
        <v>20</v>
      </c>
      <c r="N322" s="11">
        <f>Table1[[#This Row],[TotalVotesCast]]/Table1[[#This Row],[RegisteredVoters]]</f>
        <v>0.98351648351648346</v>
      </c>
      <c r="O322" t="str">
        <f>IF(Table1[[#This Row],[RegisteredVoters]]=Table1[[#This Row],[TotalVotesCast]],"Match","")</f>
        <v/>
      </c>
    </row>
    <row r="323" spans="1:15" ht="13.2">
      <c r="A323" s="1" t="s">
        <v>391</v>
      </c>
      <c r="B323" t="s">
        <v>21</v>
      </c>
      <c r="C323" t="s">
        <v>22</v>
      </c>
      <c r="D323" t="s">
        <v>349</v>
      </c>
      <c r="E323">
        <v>1170</v>
      </c>
      <c r="F323">
        <v>570</v>
      </c>
      <c r="G323">
        <v>540</v>
      </c>
      <c r="H323">
        <v>25</v>
      </c>
      <c r="I323">
        <v>1135</v>
      </c>
      <c r="J323" s="8">
        <f>Table1[[#This Row],[PartyAVotes]]/Table1[[#This Row],[RegisteredVoters]]</f>
        <v>0.48717948717948717</v>
      </c>
      <c r="K323" s="8">
        <f>Table1[[#This Row],[PartyBVotes]]/Table1[[#This Row],[RegisteredVoters]]</f>
        <v>0.46153846153846156</v>
      </c>
      <c r="L323" s="8">
        <f>Table1[[#This Row],[PartyCVotes]]/Table1[[#This Row],[RegisteredVoters]]</f>
        <v>2.1367521367521368E-2</v>
      </c>
      <c r="M323">
        <f>ABS(Table1[[#This Row],[PartyAVotes]]-Table1[[#This Row],[PartyBVotes]])</f>
        <v>30</v>
      </c>
      <c r="N323" s="11">
        <f>Table1[[#This Row],[TotalVotesCast]]/Table1[[#This Row],[RegisteredVoters]]</f>
        <v>0.97008547008547008</v>
      </c>
      <c r="O323" t="str">
        <f>IF(Table1[[#This Row],[RegisteredVoters]]=Table1[[#This Row],[TotalVotesCast]],"Match","")</f>
        <v/>
      </c>
    </row>
    <row r="324" spans="1:15" ht="13.2">
      <c r="A324" s="1" t="s">
        <v>392</v>
      </c>
      <c r="B324" t="s">
        <v>10</v>
      </c>
      <c r="C324" t="s">
        <v>14</v>
      </c>
      <c r="D324" t="s">
        <v>331</v>
      </c>
      <c r="E324">
        <v>620</v>
      </c>
      <c r="F324">
        <v>300</v>
      </c>
      <c r="G324">
        <v>280</v>
      </c>
      <c r="H324">
        <v>15</v>
      </c>
      <c r="I324">
        <v>595</v>
      </c>
      <c r="J324" s="8">
        <f>Table1[[#This Row],[PartyAVotes]]/Table1[[#This Row],[RegisteredVoters]]</f>
        <v>0.4838709677419355</v>
      </c>
      <c r="K324" s="8">
        <f>Table1[[#This Row],[PartyBVotes]]/Table1[[#This Row],[RegisteredVoters]]</f>
        <v>0.45161290322580644</v>
      </c>
      <c r="L324" s="8">
        <f>Table1[[#This Row],[PartyCVotes]]/Table1[[#This Row],[RegisteredVoters]]</f>
        <v>2.4193548387096774E-2</v>
      </c>
      <c r="M324">
        <f>ABS(Table1[[#This Row],[PartyAVotes]]-Table1[[#This Row],[PartyBVotes]])</f>
        <v>20</v>
      </c>
      <c r="N324" s="11">
        <f>Table1[[#This Row],[TotalVotesCast]]/Table1[[#This Row],[RegisteredVoters]]</f>
        <v>0.95967741935483875</v>
      </c>
      <c r="O324" t="str">
        <f>IF(Table1[[#This Row],[RegisteredVoters]]=Table1[[#This Row],[TotalVotesCast]],"Match","")</f>
        <v/>
      </c>
    </row>
    <row r="325" spans="1:15" ht="13.2">
      <c r="A325" s="1" t="s">
        <v>393</v>
      </c>
      <c r="B325" t="s">
        <v>15</v>
      </c>
      <c r="C325" t="s">
        <v>17</v>
      </c>
      <c r="D325" t="s">
        <v>313</v>
      </c>
      <c r="E325">
        <v>670</v>
      </c>
      <c r="F325">
        <v>330</v>
      </c>
      <c r="G325">
        <v>310</v>
      </c>
      <c r="H325">
        <v>15</v>
      </c>
      <c r="I325">
        <v>655</v>
      </c>
      <c r="J325" s="8">
        <f>Table1[[#This Row],[PartyAVotes]]/Table1[[#This Row],[RegisteredVoters]]</f>
        <v>0.4925373134328358</v>
      </c>
      <c r="K325" s="8">
        <f>Table1[[#This Row],[PartyBVotes]]/Table1[[#This Row],[RegisteredVoters]]</f>
        <v>0.46268656716417911</v>
      </c>
      <c r="L325" s="8">
        <f>Table1[[#This Row],[PartyCVotes]]/Table1[[#This Row],[RegisteredVoters]]</f>
        <v>2.2388059701492536E-2</v>
      </c>
      <c r="M325">
        <f>ABS(Table1[[#This Row],[PartyAVotes]]-Table1[[#This Row],[PartyBVotes]])</f>
        <v>20</v>
      </c>
      <c r="N325" s="11">
        <f>Table1[[#This Row],[TotalVotesCast]]/Table1[[#This Row],[RegisteredVoters]]</f>
        <v>0.97761194029850751</v>
      </c>
      <c r="O325" t="str">
        <f>IF(Table1[[#This Row],[RegisteredVoters]]=Table1[[#This Row],[TotalVotesCast]],"Match","")</f>
        <v/>
      </c>
    </row>
    <row r="326" spans="1:15" ht="13.2">
      <c r="A326" s="1" t="s">
        <v>394</v>
      </c>
      <c r="B326" t="s">
        <v>18</v>
      </c>
      <c r="C326" t="s">
        <v>19</v>
      </c>
      <c r="D326" t="s">
        <v>340</v>
      </c>
      <c r="E326">
        <v>940</v>
      </c>
      <c r="F326">
        <v>465</v>
      </c>
      <c r="G326">
        <v>440</v>
      </c>
      <c r="H326">
        <v>20</v>
      </c>
      <c r="I326">
        <v>925</v>
      </c>
      <c r="J326" s="8">
        <f>Table1[[#This Row],[PartyAVotes]]/Table1[[#This Row],[RegisteredVoters]]</f>
        <v>0.49468085106382981</v>
      </c>
      <c r="K326" s="8">
        <f>Table1[[#This Row],[PartyBVotes]]/Table1[[#This Row],[RegisteredVoters]]</f>
        <v>0.46808510638297873</v>
      </c>
      <c r="L326" s="8">
        <f>Table1[[#This Row],[PartyCVotes]]/Table1[[#This Row],[RegisteredVoters]]</f>
        <v>2.1276595744680851E-2</v>
      </c>
      <c r="M326">
        <f>ABS(Table1[[#This Row],[PartyAVotes]]-Table1[[#This Row],[PartyBVotes]])</f>
        <v>25</v>
      </c>
      <c r="N326" s="11">
        <f>Table1[[#This Row],[TotalVotesCast]]/Table1[[#This Row],[RegisteredVoters]]</f>
        <v>0.98404255319148937</v>
      </c>
      <c r="O326" t="str">
        <f>IF(Table1[[#This Row],[RegisteredVoters]]=Table1[[#This Row],[TotalVotesCast]],"Match","")</f>
        <v/>
      </c>
    </row>
    <row r="327" spans="1:15" ht="13.2">
      <c r="A327" s="1" t="s">
        <v>395</v>
      </c>
      <c r="B327" t="s">
        <v>21</v>
      </c>
      <c r="C327" t="s">
        <v>23</v>
      </c>
      <c r="D327" t="s">
        <v>322</v>
      </c>
      <c r="E327">
        <v>1000</v>
      </c>
      <c r="F327">
        <v>495</v>
      </c>
      <c r="G327">
        <v>470</v>
      </c>
      <c r="H327">
        <v>20</v>
      </c>
      <c r="I327">
        <v>985</v>
      </c>
      <c r="J327" s="8">
        <f>Table1[[#This Row],[PartyAVotes]]/Table1[[#This Row],[RegisteredVoters]]</f>
        <v>0.495</v>
      </c>
      <c r="K327" s="8">
        <f>Table1[[#This Row],[PartyBVotes]]/Table1[[#This Row],[RegisteredVoters]]</f>
        <v>0.47</v>
      </c>
      <c r="L327" s="8">
        <f>Table1[[#This Row],[PartyCVotes]]/Table1[[#This Row],[RegisteredVoters]]</f>
        <v>0.02</v>
      </c>
      <c r="M327">
        <f>ABS(Table1[[#This Row],[PartyAVotes]]-Table1[[#This Row],[PartyBVotes]])</f>
        <v>25</v>
      </c>
      <c r="N327" s="11">
        <f>Table1[[#This Row],[TotalVotesCast]]/Table1[[#This Row],[RegisteredVoters]]</f>
        <v>0.98499999999999999</v>
      </c>
      <c r="O327" t="str">
        <f>IF(Table1[[#This Row],[RegisteredVoters]]=Table1[[#This Row],[TotalVotesCast]],"Match","")</f>
        <v/>
      </c>
    </row>
    <row r="328" spans="1:15" ht="13.2">
      <c r="A328" s="1" t="s">
        <v>396</v>
      </c>
      <c r="B328" t="s">
        <v>10</v>
      </c>
      <c r="C328" t="s">
        <v>11</v>
      </c>
      <c r="D328" t="s">
        <v>367</v>
      </c>
      <c r="E328">
        <v>530</v>
      </c>
      <c r="F328">
        <v>255</v>
      </c>
      <c r="G328">
        <v>235</v>
      </c>
      <c r="H328">
        <v>10</v>
      </c>
      <c r="I328">
        <v>500</v>
      </c>
      <c r="J328" s="8">
        <f>Table1[[#This Row],[PartyAVotes]]/Table1[[#This Row],[RegisteredVoters]]</f>
        <v>0.48113207547169812</v>
      </c>
      <c r="K328" s="8">
        <f>Table1[[#This Row],[PartyBVotes]]/Table1[[#This Row],[RegisteredVoters]]</f>
        <v>0.44339622641509435</v>
      </c>
      <c r="L328" s="8">
        <f>Table1[[#This Row],[PartyCVotes]]/Table1[[#This Row],[RegisteredVoters]]</f>
        <v>1.8867924528301886E-2</v>
      </c>
      <c r="M328">
        <f>ABS(Table1[[#This Row],[PartyAVotes]]-Table1[[#This Row],[PartyBVotes]])</f>
        <v>20</v>
      </c>
      <c r="N328" s="11">
        <f>Table1[[#This Row],[TotalVotesCast]]/Table1[[#This Row],[RegisteredVoters]]</f>
        <v>0.94339622641509435</v>
      </c>
      <c r="O328" t="str">
        <f>IF(Table1[[#This Row],[RegisteredVoters]]=Table1[[#This Row],[TotalVotesCast]],"Match","")</f>
        <v/>
      </c>
    </row>
    <row r="329" spans="1:15" ht="13.2">
      <c r="A329" s="1" t="s">
        <v>397</v>
      </c>
      <c r="B329" t="s">
        <v>15</v>
      </c>
      <c r="C329" t="s">
        <v>16</v>
      </c>
      <c r="D329" t="s">
        <v>367</v>
      </c>
      <c r="E329">
        <v>830</v>
      </c>
      <c r="F329">
        <v>405</v>
      </c>
      <c r="G329">
        <v>385</v>
      </c>
      <c r="H329">
        <v>15</v>
      </c>
      <c r="I329">
        <v>805</v>
      </c>
      <c r="J329" s="8">
        <f>Table1[[#This Row],[PartyAVotes]]/Table1[[#This Row],[RegisteredVoters]]</f>
        <v>0.48795180722891568</v>
      </c>
      <c r="K329" s="8">
        <f>Table1[[#This Row],[PartyBVotes]]/Table1[[#This Row],[RegisteredVoters]]</f>
        <v>0.46385542168674698</v>
      </c>
      <c r="L329" s="8">
        <f>Table1[[#This Row],[PartyCVotes]]/Table1[[#This Row],[RegisteredVoters]]</f>
        <v>1.8072289156626505E-2</v>
      </c>
      <c r="M329">
        <f>ABS(Table1[[#This Row],[PartyAVotes]]-Table1[[#This Row],[PartyBVotes]])</f>
        <v>20</v>
      </c>
      <c r="N329" s="11">
        <f>Table1[[#This Row],[TotalVotesCast]]/Table1[[#This Row],[RegisteredVoters]]</f>
        <v>0.96987951807228912</v>
      </c>
      <c r="O329" t="str">
        <f>IF(Table1[[#This Row],[RegisteredVoters]]=Table1[[#This Row],[TotalVotesCast]],"Match","")</f>
        <v/>
      </c>
    </row>
    <row r="330" spans="1:15" ht="13.2">
      <c r="A330" s="1" t="s">
        <v>398</v>
      </c>
      <c r="B330" t="s">
        <v>18</v>
      </c>
      <c r="C330" t="s">
        <v>20</v>
      </c>
      <c r="D330" t="s">
        <v>399</v>
      </c>
      <c r="E330">
        <v>920</v>
      </c>
      <c r="F330">
        <v>455</v>
      </c>
      <c r="G330">
        <v>435</v>
      </c>
      <c r="H330">
        <v>15</v>
      </c>
      <c r="I330">
        <v>905</v>
      </c>
      <c r="J330" s="8">
        <f>Table1[[#This Row],[PartyAVotes]]/Table1[[#This Row],[RegisteredVoters]]</f>
        <v>0.49456521739130432</v>
      </c>
      <c r="K330" s="8">
        <f>Table1[[#This Row],[PartyBVotes]]/Table1[[#This Row],[RegisteredVoters]]</f>
        <v>0.47282608695652173</v>
      </c>
      <c r="L330" s="8">
        <f>Table1[[#This Row],[PartyCVotes]]/Table1[[#This Row],[RegisteredVoters]]</f>
        <v>1.6304347826086956E-2</v>
      </c>
      <c r="M330">
        <f>ABS(Table1[[#This Row],[PartyAVotes]]-Table1[[#This Row],[PartyBVotes]])</f>
        <v>20</v>
      </c>
      <c r="N330" s="11">
        <f>Table1[[#This Row],[TotalVotesCast]]/Table1[[#This Row],[RegisteredVoters]]</f>
        <v>0.98369565217391308</v>
      </c>
      <c r="O330" t="str">
        <f>IF(Table1[[#This Row],[RegisteredVoters]]=Table1[[#This Row],[TotalVotesCast]],"Match","")</f>
        <v/>
      </c>
    </row>
    <row r="331" spans="1:15" ht="13.2">
      <c r="A331" s="1" t="s">
        <v>400</v>
      </c>
      <c r="B331" t="s">
        <v>21</v>
      </c>
      <c r="C331" t="s">
        <v>22</v>
      </c>
      <c r="D331" t="s">
        <v>358</v>
      </c>
      <c r="E331">
        <v>1180</v>
      </c>
      <c r="F331">
        <v>575</v>
      </c>
      <c r="G331">
        <v>545</v>
      </c>
      <c r="H331">
        <v>25</v>
      </c>
      <c r="I331">
        <v>1145</v>
      </c>
      <c r="J331" s="8">
        <f>Table1[[#This Row],[PartyAVotes]]/Table1[[#This Row],[RegisteredVoters]]</f>
        <v>0.48728813559322032</v>
      </c>
      <c r="K331" s="8">
        <f>Table1[[#This Row],[PartyBVotes]]/Table1[[#This Row],[RegisteredVoters]]</f>
        <v>0.46186440677966101</v>
      </c>
      <c r="L331" s="8">
        <f>Table1[[#This Row],[PartyCVotes]]/Table1[[#This Row],[RegisteredVoters]]</f>
        <v>2.1186440677966101E-2</v>
      </c>
      <c r="M331">
        <f>ABS(Table1[[#This Row],[PartyAVotes]]-Table1[[#This Row],[PartyBVotes]])</f>
        <v>30</v>
      </c>
      <c r="N331" s="11">
        <f>Table1[[#This Row],[TotalVotesCast]]/Table1[[#This Row],[RegisteredVoters]]</f>
        <v>0.97033898305084743</v>
      </c>
      <c r="O331" t="str">
        <f>IF(Table1[[#This Row],[RegisteredVoters]]=Table1[[#This Row],[TotalVotesCast]],"Match","")</f>
        <v/>
      </c>
    </row>
    <row r="332" spans="1:15" ht="13.2">
      <c r="A332" s="1" t="s">
        <v>401</v>
      </c>
      <c r="B332" t="s">
        <v>10</v>
      </c>
      <c r="C332" t="s">
        <v>14</v>
      </c>
      <c r="D332" t="s">
        <v>340</v>
      </c>
      <c r="E332">
        <v>630</v>
      </c>
      <c r="F332">
        <v>305</v>
      </c>
      <c r="G332">
        <v>285</v>
      </c>
      <c r="H332">
        <v>15</v>
      </c>
      <c r="I332">
        <v>605</v>
      </c>
      <c r="J332" s="8">
        <f>Table1[[#This Row],[PartyAVotes]]/Table1[[#This Row],[RegisteredVoters]]</f>
        <v>0.48412698412698413</v>
      </c>
      <c r="K332" s="8">
        <f>Table1[[#This Row],[PartyBVotes]]/Table1[[#This Row],[RegisteredVoters]]</f>
        <v>0.45238095238095238</v>
      </c>
      <c r="L332" s="8">
        <f>Table1[[#This Row],[PartyCVotes]]/Table1[[#This Row],[RegisteredVoters]]</f>
        <v>2.3809523809523808E-2</v>
      </c>
      <c r="M332">
        <f>ABS(Table1[[#This Row],[PartyAVotes]]-Table1[[#This Row],[PartyBVotes]])</f>
        <v>20</v>
      </c>
      <c r="N332" s="11">
        <f>Table1[[#This Row],[TotalVotesCast]]/Table1[[#This Row],[RegisteredVoters]]</f>
        <v>0.96031746031746035</v>
      </c>
      <c r="O332" t="str">
        <f>IF(Table1[[#This Row],[RegisteredVoters]]=Table1[[#This Row],[TotalVotesCast]],"Match","")</f>
        <v/>
      </c>
    </row>
    <row r="333" spans="1:15" ht="13.2">
      <c r="A333" s="1" t="s">
        <v>402</v>
      </c>
      <c r="B333" t="s">
        <v>15</v>
      </c>
      <c r="C333" t="s">
        <v>17</v>
      </c>
      <c r="D333" t="s">
        <v>322</v>
      </c>
      <c r="E333">
        <v>680</v>
      </c>
      <c r="F333">
        <v>335</v>
      </c>
      <c r="G333">
        <v>315</v>
      </c>
      <c r="H333">
        <v>15</v>
      </c>
      <c r="I333">
        <v>665</v>
      </c>
      <c r="J333" s="8">
        <f>Table1[[#This Row],[PartyAVotes]]/Table1[[#This Row],[RegisteredVoters]]</f>
        <v>0.49264705882352944</v>
      </c>
      <c r="K333" s="8">
        <f>Table1[[#This Row],[PartyBVotes]]/Table1[[#This Row],[RegisteredVoters]]</f>
        <v>0.46323529411764708</v>
      </c>
      <c r="L333" s="8">
        <f>Table1[[#This Row],[PartyCVotes]]/Table1[[#This Row],[RegisteredVoters]]</f>
        <v>2.2058823529411766E-2</v>
      </c>
      <c r="M333">
        <f>ABS(Table1[[#This Row],[PartyAVotes]]-Table1[[#This Row],[PartyBVotes]])</f>
        <v>20</v>
      </c>
      <c r="N333" s="11">
        <f>Table1[[#This Row],[TotalVotesCast]]/Table1[[#This Row],[RegisteredVoters]]</f>
        <v>0.9779411764705882</v>
      </c>
      <c r="O333" t="str">
        <f>IF(Table1[[#This Row],[RegisteredVoters]]=Table1[[#This Row],[TotalVotesCast]],"Match","")</f>
        <v/>
      </c>
    </row>
    <row r="334" spans="1:15" ht="13.2">
      <c r="A334" s="1" t="s">
        <v>403</v>
      </c>
      <c r="B334" t="s">
        <v>18</v>
      </c>
      <c r="C334" t="s">
        <v>19</v>
      </c>
      <c r="D334" t="s">
        <v>349</v>
      </c>
      <c r="E334">
        <v>950</v>
      </c>
      <c r="F334">
        <v>470</v>
      </c>
      <c r="G334">
        <v>445</v>
      </c>
      <c r="H334">
        <v>20</v>
      </c>
      <c r="I334">
        <v>935</v>
      </c>
      <c r="J334" s="8">
        <f>Table1[[#This Row],[PartyAVotes]]/Table1[[#This Row],[RegisteredVoters]]</f>
        <v>0.49473684210526314</v>
      </c>
      <c r="K334" s="8">
        <f>Table1[[#This Row],[PartyBVotes]]/Table1[[#This Row],[RegisteredVoters]]</f>
        <v>0.46842105263157896</v>
      </c>
      <c r="L334" s="8">
        <f>Table1[[#This Row],[PartyCVotes]]/Table1[[#This Row],[RegisteredVoters]]</f>
        <v>2.1052631578947368E-2</v>
      </c>
      <c r="M334">
        <f>ABS(Table1[[#This Row],[PartyAVotes]]-Table1[[#This Row],[PartyBVotes]])</f>
        <v>25</v>
      </c>
      <c r="N334" s="11">
        <f>Table1[[#This Row],[TotalVotesCast]]/Table1[[#This Row],[RegisteredVoters]]</f>
        <v>0.98421052631578942</v>
      </c>
      <c r="O334" t="str">
        <f>IF(Table1[[#This Row],[RegisteredVoters]]=Table1[[#This Row],[TotalVotesCast]],"Match","")</f>
        <v/>
      </c>
    </row>
    <row r="335" spans="1:15" ht="13.2">
      <c r="A335" s="1" t="s">
        <v>404</v>
      </c>
      <c r="B335" t="s">
        <v>21</v>
      </c>
      <c r="C335" t="s">
        <v>23</v>
      </c>
      <c r="D335" t="s">
        <v>331</v>
      </c>
      <c r="E335">
        <v>1010</v>
      </c>
      <c r="F335">
        <v>500</v>
      </c>
      <c r="G335">
        <v>475</v>
      </c>
      <c r="H335">
        <v>20</v>
      </c>
      <c r="I335">
        <v>995</v>
      </c>
      <c r="J335" s="8">
        <f>Table1[[#This Row],[PartyAVotes]]/Table1[[#This Row],[RegisteredVoters]]</f>
        <v>0.49504950495049505</v>
      </c>
      <c r="K335" s="8">
        <f>Table1[[#This Row],[PartyBVotes]]/Table1[[#This Row],[RegisteredVoters]]</f>
        <v>0.47029702970297027</v>
      </c>
      <c r="L335" s="8">
        <f>Table1[[#This Row],[PartyCVotes]]/Table1[[#This Row],[RegisteredVoters]]</f>
        <v>1.9801980198019802E-2</v>
      </c>
      <c r="M335">
        <f>ABS(Table1[[#This Row],[PartyAVotes]]-Table1[[#This Row],[PartyBVotes]])</f>
        <v>25</v>
      </c>
      <c r="N335" s="11">
        <f>Table1[[#This Row],[TotalVotesCast]]/Table1[[#This Row],[RegisteredVoters]]</f>
        <v>0.98514851485148514</v>
      </c>
      <c r="O335" t="str">
        <f>IF(Table1[[#This Row],[RegisteredVoters]]=Table1[[#This Row],[TotalVotesCast]],"Match","")</f>
        <v/>
      </c>
    </row>
    <row r="336" spans="1:15" ht="13.2">
      <c r="A336" s="1" t="s">
        <v>405</v>
      </c>
      <c r="B336" t="s">
        <v>10</v>
      </c>
      <c r="C336" t="s">
        <v>11</v>
      </c>
      <c r="D336" t="s">
        <v>372</v>
      </c>
      <c r="E336">
        <v>540</v>
      </c>
      <c r="F336">
        <v>260</v>
      </c>
      <c r="G336">
        <v>240</v>
      </c>
      <c r="H336">
        <v>10</v>
      </c>
      <c r="I336">
        <v>510</v>
      </c>
      <c r="J336" s="8">
        <f>Table1[[#This Row],[PartyAVotes]]/Table1[[#This Row],[RegisteredVoters]]</f>
        <v>0.48148148148148145</v>
      </c>
      <c r="K336" s="8">
        <f>Table1[[#This Row],[PartyBVotes]]/Table1[[#This Row],[RegisteredVoters]]</f>
        <v>0.44444444444444442</v>
      </c>
      <c r="L336" s="8">
        <f>Table1[[#This Row],[PartyCVotes]]/Table1[[#This Row],[RegisteredVoters]]</f>
        <v>1.8518518518518517E-2</v>
      </c>
      <c r="M336">
        <f>ABS(Table1[[#This Row],[PartyAVotes]]-Table1[[#This Row],[PartyBVotes]])</f>
        <v>20</v>
      </c>
      <c r="N336" s="11">
        <f>Table1[[#This Row],[TotalVotesCast]]/Table1[[#This Row],[RegisteredVoters]]</f>
        <v>0.94444444444444442</v>
      </c>
      <c r="O336" t="str">
        <f>IF(Table1[[#This Row],[RegisteredVoters]]=Table1[[#This Row],[TotalVotesCast]],"Match","")</f>
        <v/>
      </c>
    </row>
    <row r="337" spans="1:15" ht="13.2">
      <c r="A337" s="1" t="s">
        <v>406</v>
      </c>
      <c r="B337" t="s">
        <v>15</v>
      </c>
      <c r="C337" t="s">
        <v>16</v>
      </c>
      <c r="D337" t="s">
        <v>372</v>
      </c>
      <c r="E337">
        <v>840</v>
      </c>
      <c r="F337">
        <v>410</v>
      </c>
      <c r="G337">
        <v>390</v>
      </c>
      <c r="H337">
        <v>15</v>
      </c>
      <c r="I337">
        <v>815</v>
      </c>
      <c r="J337" s="8">
        <f>Table1[[#This Row],[PartyAVotes]]/Table1[[#This Row],[RegisteredVoters]]</f>
        <v>0.48809523809523808</v>
      </c>
      <c r="K337" s="8">
        <f>Table1[[#This Row],[PartyBVotes]]/Table1[[#This Row],[RegisteredVoters]]</f>
        <v>0.4642857142857143</v>
      </c>
      <c r="L337" s="8">
        <f>Table1[[#This Row],[PartyCVotes]]/Table1[[#This Row],[RegisteredVoters]]</f>
        <v>1.7857142857142856E-2</v>
      </c>
      <c r="M337">
        <f>ABS(Table1[[#This Row],[PartyAVotes]]-Table1[[#This Row],[PartyBVotes]])</f>
        <v>20</v>
      </c>
      <c r="N337" s="11">
        <f>Table1[[#This Row],[TotalVotesCast]]/Table1[[#This Row],[RegisteredVoters]]</f>
        <v>0.97023809523809523</v>
      </c>
      <c r="O337" t="str">
        <f>IF(Table1[[#This Row],[RegisteredVoters]]=Table1[[#This Row],[TotalVotesCast]],"Match","")</f>
        <v/>
      </c>
    </row>
    <row r="338" spans="1:15" ht="13.2">
      <c r="A338" s="1" t="s">
        <v>407</v>
      </c>
      <c r="B338" t="s">
        <v>18</v>
      </c>
      <c r="C338" t="s">
        <v>20</v>
      </c>
      <c r="D338" t="s">
        <v>408</v>
      </c>
      <c r="E338">
        <v>930</v>
      </c>
      <c r="F338">
        <v>460</v>
      </c>
      <c r="G338">
        <v>440</v>
      </c>
      <c r="H338">
        <v>15</v>
      </c>
      <c r="I338">
        <v>915</v>
      </c>
      <c r="J338" s="8">
        <f>Table1[[#This Row],[PartyAVotes]]/Table1[[#This Row],[RegisteredVoters]]</f>
        <v>0.4946236559139785</v>
      </c>
      <c r="K338" s="8">
        <f>Table1[[#This Row],[PartyBVotes]]/Table1[[#This Row],[RegisteredVoters]]</f>
        <v>0.4731182795698925</v>
      </c>
      <c r="L338" s="8">
        <f>Table1[[#This Row],[PartyCVotes]]/Table1[[#This Row],[RegisteredVoters]]</f>
        <v>1.6129032258064516E-2</v>
      </c>
      <c r="M338">
        <f>ABS(Table1[[#This Row],[PartyAVotes]]-Table1[[#This Row],[PartyBVotes]])</f>
        <v>20</v>
      </c>
      <c r="N338" s="11">
        <f>Table1[[#This Row],[TotalVotesCast]]/Table1[[#This Row],[RegisteredVoters]]</f>
        <v>0.9838709677419355</v>
      </c>
      <c r="O338" t="str">
        <f>IF(Table1[[#This Row],[RegisteredVoters]]=Table1[[#This Row],[TotalVotesCast]],"Match","")</f>
        <v/>
      </c>
    </row>
    <row r="339" spans="1:15" ht="13.2">
      <c r="A339" s="1" t="s">
        <v>409</v>
      </c>
      <c r="B339" t="s">
        <v>21</v>
      </c>
      <c r="C339" t="s">
        <v>22</v>
      </c>
      <c r="D339" t="s">
        <v>367</v>
      </c>
      <c r="E339">
        <v>1190</v>
      </c>
      <c r="F339">
        <v>580</v>
      </c>
      <c r="G339">
        <v>550</v>
      </c>
      <c r="H339">
        <v>25</v>
      </c>
      <c r="I339">
        <v>1155</v>
      </c>
      <c r="J339" s="8">
        <f>Table1[[#This Row],[PartyAVotes]]/Table1[[#This Row],[RegisteredVoters]]</f>
        <v>0.48739495798319327</v>
      </c>
      <c r="K339" s="8">
        <f>Table1[[#This Row],[PartyBVotes]]/Table1[[#This Row],[RegisteredVoters]]</f>
        <v>0.46218487394957986</v>
      </c>
      <c r="L339" s="8">
        <f>Table1[[#This Row],[PartyCVotes]]/Table1[[#This Row],[RegisteredVoters]]</f>
        <v>2.100840336134454E-2</v>
      </c>
      <c r="M339">
        <f>ABS(Table1[[#This Row],[PartyAVotes]]-Table1[[#This Row],[PartyBVotes]])</f>
        <v>30</v>
      </c>
      <c r="N339" s="11">
        <f>Table1[[#This Row],[TotalVotesCast]]/Table1[[#This Row],[RegisteredVoters]]</f>
        <v>0.97058823529411764</v>
      </c>
      <c r="O339" t="str">
        <f>IF(Table1[[#This Row],[RegisteredVoters]]=Table1[[#This Row],[TotalVotesCast]],"Match","")</f>
        <v/>
      </c>
    </row>
    <row r="340" spans="1:15" ht="13.2">
      <c r="A340" s="1" t="s">
        <v>410</v>
      </c>
      <c r="B340" t="s">
        <v>10</v>
      </c>
      <c r="C340" t="s">
        <v>14</v>
      </c>
      <c r="D340" t="s">
        <v>349</v>
      </c>
      <c r="E340">
        <v>640</v>
      </c>
      <c r="F340">
        <v>310</v>
      </c>
      <c r="G340">
        <v>290</v>
      </c>
      <c r="H340">
        <v>15</v>
      </c>
      <c r="I340">
        <v>615</v>
      </c>
      <c r="J340" s="8">
        <f>Table1[[#This Row],[PartyAVotes]]/Table1[[#This Row],[RegisteredVoters]]</f>
        <v>0.484375</v>
      </c>
      <c r="K340" s="8">
        <f>Table1[[#This Row],[PartyBVotes]]/Table1[[#This Row],[RegisteredVoters]]</f>
        <v>0.453125</v>
      </c>
      <c r="L340" s="8">
        <f>Table1[[#This Row],[PartyCVotes]]/Table1[[#This Row],[RegisteredVoters]]</f>
        <v>2.34375E-2</v>
      </c>
      <c r="M340">
        <f>ABS(Table1[[#This Row],[PartyAVotes]]-Table1[[#This Row],[PartyBVotes]])</f>
        <v>20</v>
      </c>
      <c r="N340" s="11">
        <f>Table1[[#This Row],[TotalVotesCast]]/Table1[[#This Row],[RegisteredVoters]]</f>
        <v>0.9609375</v>
      </c>
      <c r="O340" t="str">
        <f>IF(Table1[[#This Row],[RegisteredVoters]]=Table1[[#This Row],[TotalVotesCast]],"Match","")</f>
        <v/>
      </c>
    </row>
    <row r="341" spans="1:15" ht="13.2">
      <c r="A341" s="1" t="s">
        <v>411</v>
      </c>
      <c r="B341" t="s">
        <v>15</v>
      </c>
      <c r="C341" t="s">
        <v>17</v>
      </c>
      <c r="D341" t="s">
        <v>331</v>
      </c>
      <c r="E341">
        <v>690</v>
      </c>
      <c r="F341">
        <v>340</v>
      </c>
      <c r="G341">
        <v>320</v>
      </c>
      <c r="H341">
        <v>15</v>
      </c>
      <c r="I341">
        <v>675</v>
      </c>
      <c r="J341" s="8">
        <f>Table1[[#This Row],[PartyAVotes]]/Table1[[#This Row],[RegisteredVoters]]</f>
        <v>0.49275362318840582</v>
      </c>
      <c r="K341" s="8">
        <f>Table1[[#This Row],[PartyBVotes]]/Table1[[#This Row],[RegisteredVoters]]</f>
        <v>0.46376811594202899</v>
      </c>
      <c r="L341" s="8">
        <f>Table1[[#This Row],[PartyCVotes]]/Table1[[#This Row],[RegisteredVoters]]</f>
        <v>2.1739130434782608E-2</v>
      </c>
      <c r="M341">
        <f>ABS(Table1[[#This Row],[PartyAVotes]]-Table1[[#This Row],[PartyBVotes]])</f>
        <v>20</v>
      </c>
      <c r="N341" s="11">
        <f>Table1[[#This Row],[TotalVotesCast]]/Table1[[#This Row],[RegisteredVoters]]</f>
        <v>0.97826086956521741</v>
      </c>
      <c r="O341" t="str">
        <f>IF(Table1[[#This Row],[RegisteredVoters]]=Table1[[#This Row],[TotalVotesCast]],"Match","")</f>
        <v/>
      </c>
    </row>
    <row r="342" spans="1:15" ht="13.2">
      <c r="A342" s="1" t="s">
        <v>412</v>
      </c>
      <c r="B342" t="s">
        <v>18</v>
      </c>
      <c r="C342" t="s">
        <v>19</v>
      </c>
      <c r="D342" t="s">
        <v>358</v>
      </c>
      <c r="E342">
        <v>960</v>
      </c>
      <c r="F342">
        <v>475</v>
      </c>
      <c r="G342">
        <v>450</v>
      </c>
      <c r="H342">
        <v>20</v>
      </c>
      <c r="I342">
        <v>945</v>
      </c>
      <c r="J342" s="8">
        <f>Table1[[#This Row],[PartyAVotes]]/Table1[[#This Row],[RegisteredVoters]]</f>
        <v>0.49479166666666669</v>
      </c>
      <c r="K342" s="8">
        <f>Table1[[#This Row],[PartyBVotes]]/Table1[[#This Row],[RegisteredVoters]]</f>
        <v>0.46875</v>
      </c>
      <c r="L342" s="8">
        <f>Table1[[#This Row],[PartyCVotes]]/Table1[[#This Row],[RegisteredVoters]]</f>
        <v>2.0833333333333332E-2</v>
      </c>
      <c r="M342">
        <f>ABS(Table1[[#This Row],[PartyAVotes]]-Table1[[#This Row],[PartyBVotes]])</f>
        <v>25</v>
      </c>
      <c r="N342" s="11">
        <f>Table1[[#This Row],[TotalVotesCast]]/Table1[[#This Row],[RegisteredVoters]]</f>
        <v>0.984375</v>
      </c>
      <c r="O342" t="str">
        <f>IF(Table1[[#This Row],[RegisteredVoters]]=Table1[[#This Row],[TotalVotesCast]],"Match","")</f>
        <v/>
      </c>
    </row>
    <row r="343" spans="1:15" ht="13.2">
      <c r="A343" s="1" t="s">
        <v>413</v>
      </c>
      <c r="B343" t="s">
        <v>21</v>
      </c>
      <c r="C343" t="s">
        <v>23</v>
      </c>
      <c r="D343" t="s">
        <v>340</v>
      </c>
      <c r="E343">
        <v>1020</v>
      </c>
      <c r="F343">
        <v>505</v>
      </c>
      <c r="G343">
        <v>480</v>
      </c>
      <c r="H343">
        <v>20</v>
      </c>
      <c r="I343">
        <v>1005</v>
      </c>
      <c r="J343" s="8">
        <f>Table1[[#This Row],[PartyAVotes]]/Table1[[#This Row],[RegisteredVoters]]</f>
        <v>0.49509803921568629</v>
      </c>
      <c r="K343" s="8">
        <f>Table1[[#This Row],[PartyBVotes]]/Table1[[#This Row],[RegisteredVoters]]</f>
        <v>0.47058823529411764</v>
      </c>
      <c r="L343" s="8">
        <f>Table1[[#This Row],[PartyCVotes]]/Table1[[#This Row],[RegisteredVoters]]</f>
        <v>1.9607843137254902E-2</v>
      </c>
      <c r="M343">
        <f>ABS(Table1[[#This Row],[PartyAVotes]]-Table1[[#This Row],[PartyBVotes]])</f>
        <v>25</v>
      </c>
      <c r="N343" s="11">
        <f>Table1[[#This Row],[TotalVotesCast]]/Table1[[#This Row],[RegisteredVoters]]</f>
        <v>0.98529411764705888</v>
      </c>
      <c r="O343" t="str">
        <f>IF(Table1[[#This Row],[RegisteredVoters]]=Table1[[#This Row],[TotalVotesCast]],"Match","")</f>
        <v/>
      </c>
    </row>
    <row r="344" spans="1:15" ht="13.2">
      <c r="A344" s="1" t="s">
        <v>414</v>
      </c>
      <c r="B344" t="s">
        <v>10</v>
      </c>
      <c r="C344" t="s">
        <v>11</v>
      </c>
      <c r="D344" t="s">
        <v>381</v>
      </c>
      <c r="E344">
        <v>550</v>
      </c>
      <c r="F344">
        <v>265</v>
      </c>
      <c r="G344">
        <v>245</v>
      </c>
      <c r="H344">
        <v>10</v>
      </c>
      <c r="I344">
        <v>520</v>
      </c>
      <c r="J344" s="8">
        <f>Table1[[#This Row],[PartyAVotes]]/Table1[[#This Row],[RegisteredVoters]]</f>
        <v>0.48181818181818181</v>
      </c>
      <c r="K344" s="8">
        <f>Table1[[#This Row],[PartyBVotes]]/Table1[[#This Row],[RegisteredVoters]]</f>
        <v>0.44545454545454544</v>
      </c>
      <c r="L344" s="8">
        <f>Table1[[#This Row],[PartyCVotes]]/Table1[[#This Row],[RegisteredVoters]]</f>
        <v>1.8181818181818181E-2</v>
      </c>
      <c r="M344">
        <f>ABS(Table1[[#This Row],[PartyAVotes]]-Table1[[#This Row],[PartyBVotes]])</f>
        <v>20</v>
      </c>
      <c r="N344" s="11">
        <f>Table1[[#This Row],[TotalVotesCast]]/Table1[[#This Row],[RegisteredVoters]]</f>
        <v>0.94545454545454544</v>
      </c>
      <c r="O344" t="str">
        <f>IF(Table1[[#This Row],[RegisteredVoters]]=Table1[[#This Row],[TotalVotesCast]],"Match","")</f>
        <v/>
      </c>
    </row>
    <row r="345" spans="1:15" ht="13.2">
      <c r="A345" s="1" t="s">
        <v>415</v>
      </c>
      <c r="B345" t="s">
        <v>15</v>
      </c>
      <c r="C345" t="s">
        <v>16</v>
      </c>
      <c r="D345" t="s">
        <v>381</v>
      </c>
      <c r="E345">
        <v>850</v>
      </c>
      <c r="F345">
        <v>415</v>
      </c>
      <c r="G345">
        <v>395</v>
      </c>
      <c r="H345">
        <v>15</v>
      </c>
      <c r="I345">
        <v>825</v>
      </c>
      <c r="J345" s="8">
        <f>Table1[[#This Row],[PartyAVotes]]/Table1[[#This Row],[RegisteredVoters]]</f>
        <v>0.48823529411764705</v>
      </c>
      <c r="K345" s="8">
        <f>Table1[[#This Row],[PartyBVotes]]/Table1[[#This Row],[RegisteredVoters]]</f>
        <v>0.46470588235294119</v>
      </c>
      <c r="L345" s="8">
        <f>Table1[[#This Row],[PartyCVotes]]/Table1[[#This Row],[RegisteredVoters]]</f>
        <v>1.7647058823529412E-2</v>
      </c>
      <c r="M345">
        <f>ABS(Table1[[#This Row],[PartyAVotes]]-Table1[[#This Row],[PartyBVotes]])</f>
        <v>20</v>
      </c>
      <c r="N345" s="11">
        <f>Table1[[#This Row],[TotalVotesCast]]/Table1[[#This Row],[RegisteredVoters]]</f>
        <v>0.97058823529411764</v>
      </c>
      <c r="O345" t="str">
        <f>IF(Table1[[#This Row],[RegisteredVoters]]=Table1[[#This Row],[TotalVotesCast]],"Match","")</f>
        <v/>
      </c>
    </row>
    <row r="346" spans="1:15" ht="13.2">
      <c r="A346" s="1" t="s">
        <v>416</v>
      </c>
      <c r="B346" t="s">
        <v>18</v>
      </c>
      <c r="C346" t="s">
        <v>20</v>
      </c>
      <c r="D346" t="s">
        <v>417</v>
      </c>
      <c r="E346">
        <v>940</v>
      </c>
      <c r="F346">
        <v>465</v>
      </c>
      <c r="G346">
        <v>445</v>
      </c>
      <c r="H346">
        <v>15</v>
      </c>
      <c r="I346">
        <v>925</v>
      </c>
      <c r="J346" s="8">
        <f>Table1[[#This Row],[PartyAVotes]]/Table1[[#This Row],[RegisteredVoters]]</f>
        <v>0.49468085106382981</v>
      </c>
      <c r="K346" s="8">
        <f>Table1[[#This Row],[PartyBVotes]]/Table1[[#This Row],[RegisteredVoters]]</f>
        <v>0.47340425531914893</v>
      </c>
      <c r="L346" s="8">
        <f>Table1[[#This Row],[PartyCVotes]]/Table1[[#This Row],[RegisteredVoters]]</f>
        <v>1.5957446808510637E-2</v>
      </c>
      <c r="M346">
        <f>ABS(Table1[[#This Row],[PartyAVotes]]-Table1[[#This Row],[PartyBVotes]])</f>
        <v>20</v>
      </c>
      <c r="N346" s="11">
        <f>Table1[[#This Row],[TotalVotesCast]]/Table1[[#This Row],[RegisteredVoters]]</f>
        <v>0.98404255319148937</v>
      </c>
      <c r="O346" t="str">
        <f>IF(Table1[[#This Row],[RegisteredVoters]]=Table1[[#This Row],[TotalVotesCast]],"Match","")</f>
        <v/>
      </c>
    </row>
    <row r="347" spans="1:15" ht="13.2">
      <c r="A347" s="1" t="s">
        <v>418</v>
      </c>
      <c r="B347" t="s">
        <v>21</v>
      </c>
      <c r="C347" t="s">
        <v>22</v>
      </c>
      <c r="D347" t="s">
        <v>372</v>
      </c>
      <c r="E347">
        <v>1200</v>
      </c>
      <c r="F347">
        <v>585</v>
      </c>
      <c r="G347">
        <v>555</v>
      </c>
      <c r="H347">
        <v>25</v>
      </c>
      <c r="I347">
        <v>1165</v>
      </c>
      <c r="J347" s="8">
        <f>Table1[[#This Row],[PartyAVotes]]/Table1[[#This Row],[RegisteredVoters]]</f>
        <v>0.48749999999999999</v>
      </c>
      <c r="K347" s="8">
        <f>Table1[[#This Row],[PartyBVotes]]/Table1[[#This Row],[RegisteredVoters]]</f>
        <v>0.46250000000000002</v>
      </c>
      <c r="L347" s="8">
        <f>Table1[[#This Row],[PartyCVotes]]/Table1[[#This Row],[RegisteredVoters]]</f>
        <v>2.0833333333333332E-2</v>
      </c>
      <c r="M347">
        <f>ABS(Table1[[#This Row],[PartyAVotes]]-Table1[[#This Row],[PartyBVotes]])</f>
        <v>30</v>
      </c>
      <c r="N347" s="11">
        <f>Table1[[#This Row],[TotalVotesCast]]/Table1[[#This Row],[RegisteredVoters]]</f>
        <v>0.97083333333333333</v>
      </c>
      <c r="O347" t="str">
        <f>IF(Table1[[#This Row],[RegisteredVoters]]=Table1[[#This Row],[TotalVotesCast]],"Match","")</f>
        <v/>
      </c>
    </row>
    <row r="348" spans="1:15" ht="13.2">
      <c r="A348" s="1" t="s">
        <v>419</v>
      </c>
      <c r="B348" t="s">
        <v>10</v>
      </c>
      <c r="C348" t="s">
        <v>14</v>
      </c>
      <c r="D348" t="s">
        <v>358</v>
      </c>
      <c r="E348">
        <v>650</v>
      </c>
      <c r="F348">
        <v>315</v>
      </c>
      <c r="G348">
        <v>295</v>
      </c>
      <c r="H348">
        <v>15</v>
      </c>
      <c r="I348">
        <v>625</v>
      </c>
      <c r="J348" s="8">
        <f>Table1[[#This Row],[PartyAVotes]]/Table1[[#This Row],[RegisteredVoters]]</f>
        <v>0.48461538461538461</v>
      </c>
      <c r="K348" s="8">
        <f>Table1[[#This Row],[PartyBVotes]]/Table1[[#This Row],[RegisteredVoters]]</f>
        <v>0.45384615384615384</v>
      </c>
      <c r="L348" s="8">
        <f>Table1[[#This Row],[PartyCVotes]]/Table1[[#This Row],[RegisteredVoters]]</f>
        <v>2.3076923076923078E-2</v>
      </c>
      <c r="M348">
        <f>ABS(Table1[[#This Row],[PartyAVotes]]-Table1[[#This Row],[PartyBVotes]])</f>
        <v>20</v>
      </c>
      <c r="N348" s="11">
        <f>Table1[[#This Row],[TotalVotesCast]]/Table1[[#This Row],[RegisteredVoters]]</f>
        <v>0.96153846153846156</v>
      </c>
      <c r="O348" t="str">
        <f>IF(Table1[[#This Row],[RegisteredVoters]]=Table1[[#This Row],[TotalVotesCast]],"Match","")</f>
        <v/>
      </c>
    </row>
    <row r="349" spans="1:15" ht="13.2">
      <c r="A349" s="1" t="s">
        <v>420</v>
      </c>
      <c r="B349" t="s">
        <v>15</v>
      </c>
      <c r="C349" t="s">
        <v>17</v>
      </c>
      <c r="D349" t="s">
        <v>340</v>
      </c>
      <c r="E349">
        <v>700</v>
      </c>
      <c r="F349">
        <v>345</v>
      </c>
      <c r="G349">
        <v>325</v>
      </c>
      <c r="H349">
        <v>15</v>
      </c>
      <c r="I349">
        <v>685</v>
      </c>
      <c r="J349" s="8">
        <f>Table1[[#This Row],[PartyAVotes]]/Table1[[#This Row],[RegisteredVoters]]</f>
        <v>0.49285714285714288</v>
      </c>
      <c r="K349" s="8">
        <f>Table1[[#This Row],[PartyBVotes]]/Table1[[#This Row],[RegisteredVoters]]</f>
        <v>0.4642857142857143</v>
      </c>
      <c r="L349" s="8">
        <f>Table1[[#This Row],[PartyCVotes]]/Table1[[#This Row],[RegisteredVoters]]</f>
        <v>2.1428571428571429E-2</v>
      </c>
      <c r="M349">
        <f>ABS(Table1[[#This Row],[PartyAVotes]]-Table1[[#This Row],[PartyBVotes]])</f>
        <v>20</v>
      </c>
      <c r="N349" s="11">
        <f>Table1[[#This Row],[TotalVotesCast]]/Table1[[#This Row],[RegisteredVoters]]</f>
        <v>0.97857142857142854</v>
      </c>
      <c r="O349" t="str">
        <f>IF(Table1[[#This Row],[RegisteredVoters]]=Table1[[#This Row],[TotalVotesCast]],"Match","")</f>
        <v/>
      </c>
    </row>
    <row r="350" spans="1:15" ht="13.2">
      <c r="A350" s="1" t="s">
        <v>421</v>
      </c>
      <c r="B350" t="s">
        <v>18</v>
      </c>
      <c r="C350" t="s">
        <v>19</v>
      </c>
      <c r="D350" t="s">
        <v>367</v>
      </c>
      <c r="E350">
        <v>970</v>
      </c>
      <c r="F350">
        <v>480</v>
      </c>
      <c r="G350">
        <v>455</v>
      </c>
      <c r="H350">
        <v>20</v>
      </c>
      <c r="I350">
        <v>955</v>
      </c>
      <c r="J350" s="8">
        <f>Table1[[#This Row],[PartyAVotes]]/Table1[[#This Row],[RegisteredVoters]]</f>
        <v>0.49484536082474229</v>
      </c>
      <c r="K350" s="8">
        <f>Table1[[#This Row],[PartyBVotes]]/Table1[[#This Row],[RegisteredVoters]]</f>
        <v>0.46907216494845361</v>
      </c>
      <c r="L350" s="8">
        <f>Table1[[#This Row],[PartyCVotes]]/Table1[[#This Row],[RegisteredVoters]]</f>
        <v>2.0618556701030927E-2</v>
      </c>
      <c r="M350">
        <f>ABS(Table1[[#This Row],[PartyAVotes]]-Table1[[#This Row],[PartyBVotes]])</f>
        <v>25</v>
      </c>
      <c r="N350" s="11">
        <f>Table1[[#This Row],[TotalVotesCast]]/Table1[[#This Row],[RegisteredVoters]]</f>
        <v>0.98453608247422686</v>
      </c>
      <c r="O350" t="str">
        <f>IF(Table1[[#This Row],[RegisteredVoters]]=Table1[[#This Row],[TotalVotesCast]],"Match","")</f>
        <v/>
      </c>
    </row>
    <row r="351" spans="1:15" ht="13.2">
      <c r="A351" s="1" t="s">
        <v>422</v>
      </c>
      <c r="B351" t="s">
        <v>21</v>
      </c>
      <c r="C351" t="s">
        <v>23</v>
      </c>
      <c r="D351" t="s">
        <v>349</v>
      </c>
      <c r="E351">
        <v>1030</v>
      </c>
      <c r="F351">
        <v>510</v>
      </c>
      <c r="G351">
        <v>485</v>
      </c>
      <c r="H351">
        <v>20</v>
      </c>
      <c r="I351">
        <v>1015</v>
      </c>
      <c r="J351" s="8">
        <f>Table1[[#This Row],[PartyAVotes]]/Table1[[#This Row],[RegisteredVoters]]</f>
        <v>0.49514563106796117</v>
      </c>
      <c r="K351" s="8">
        <f>Table1[[#This Row],[PartyBVotes]]/Table1[[#This Row],[RegisteredVoters]]</f>
        <v>0.470873786407767</v>
      </c>
      <c r="L351" s="8">
        <f>Table1[[#This Row],[PartyCVotes]]/Table1[[#This Row],[RegisteredVoters]]</f>
        <v>1.9417475728155338E-2</v>
      </c>
      <c r="M351">
        <f>ABS(Table1[[#This Row],[PartyAVotes]]-Table1[[#This Row],[PartyBVotes]])</f>
        <v>25</v>
      </c>
      <c r="N351" s="11">
        <f>Table1[[#This Row],[TotalVotesCast]]/Table1[[#This Row],[RegisteredVoters]]</f>
        <v>0.9854368932038835</v>
      </c>
      <c r="O351" t="str">
        <f>IF(Table1[[#This Row],[RegisteredVoters]]=Table1[[#This Row],[TotalVotesCast]],"Match","")</f>
        <v/>
      </c>
    </row>
    <row r="352" spans="1:15" ht="13.2">
      <c r="A352" s="1" t="s">
        <v>423</v>
      </c>
      <c r="B352" t="s">
        <v>10</v>
      </c>
      <c r="C352" t="s">
        <v>11</v>
      </c>
      <c r="D352" t="s">
        <v>390</v>
      </c>
      <c r="E352">
        <v>560</v>
      </c>
      <c r="F352">
        <v>270</v>
      </c>
      <c r="G352">
        <v>250</v>
      </c>
      <c r="H352">
        <v>10</v>
      </c>
      <c r="I352">
        <v>530</v>
      </c>
      <c r="J352" s="8">
        <f>Table1[[#This Row],[PartyAVotes]]/Table1[[#This Row],[RegisteredVoters]]</f>
        <v>0.48214285714285715</v>
      </c>
      <c r="K352" s="8">
        <f>Table1[[#This Row],[PartyBVotes]]/Table1[[#This Row],[RegisteredVoters]]</f>
        <v>0.44642857142857145</v>
      </c>
      <c r="L352" s="8">
        <f>Table1[[#This Row],[PartyCVotes]]/Table1[[#This Row],[RegisteredVoters]]</f>
        <v>1.7857142857142856E-2</v>
      </c>
      <c r="M352">
        <f>ABS(Table1[[#This Row],[PartyAVotes]]-Table1[[#This Row],[PartyBVotes]])</f>
        <v>20</v>
      </c>
      <c r="N352" s="11">
        <f>Table1[[#This Row],[TotalVotesCast]]/Table1[[#This Row],[RegisteredVoters]]</f>
        <v>0.9464285714285714</v>
      </c>
      <c r="O352" t="str">
        <f>IF(Table1[[#This Row],[RegisteredVoters]]=Table1[[#This Row],[TotalVotesCast]],"Match","")</f>
        <v/>
      </c>
    </row>
    <row r="353" spans="1:15" ht="13.2">
      <c r="A353" s="1" t="s">
        <v>424</v>
      </c>
      <c r="B353" t="s">
        <v>15</v>
      </c>
      <c r="C353" t="s">
        <v>16</v>
      </c>
      <c r="D353" t="s">
        <v>390</v>
      </c>
      <c r="E353">
        <v>860</v>
      </c>
      <c r="F353">
        <v>420</v>
      </c>
      <c r="G353">
        <v>400</v>
      </c>
      <c r="H353">
        <v>15</v>
      </c>
      <c r="I353">
        <v>835</v>
      </c>
      <c r="J353" s="8">
        <f>Table1[[#This Row],[PartyAVotes]]/Table1[[#This Row],[RegisteredVoters]]</f>
        <v>0.48837209302325579</v>
      </c>
      <c r="K353" s="8">
        <f>Table1[[#This Row],[PartyBVotes]]/Table1[[#This Row],[RegisteredVoters]]</f>
        <v>0.46511627906976744</v>
      </c>
      <c r="L353" s="8">
        <f>Table1[[#This Row],[PartyCVotes]]/Table1[[#This Row],[RegisteredVoters]]</f>
        <v>1.7441860465116279E-2</v>
      </c>
      <c r="M353">
        <f>ABS(Table1[[#This Row],[PartyAVotes]]-Table1[[#This Row],[PartyBVotes]])</f>
        <v>20</v>
      </c>
      <c r="N353" s="11">
        <f>Table1[[#This Row],[TotalVotesCast]]/Table1[[#This Row],[RegisteredVoters]]</f>
        <v>0.97093023255813948</v>
      </c>
      <c r="O353" t="str">
        <f>IF(Table1[[#This Row],[RegisteredVoters]]=Table1[[#This Row],[TotalVotesCast]],"Match","")</f>
        <v/>
      </c>
    </row>
    <row r="354" spans="1:15" ht="13.2">
      <c r="A354" s="1" t="s">
        <v>425</v>
      </c>
      <c r="B354" t="s">
        <v>18</v>
      </c>
      <c r="C354" t="s">
        <v>20</v>
      </c>
      <c r="D354" t="s">
        <v>426</v>
      </c>
      <c r="E354">
        <v>950</v>
      </c>
      <c r="F354">
        <v>470</v>
      </c>
      <c r="G354">
        <v>450</v>
      </c>
      <c r="H354">
        <v>15</v>
      </c>
      <c r="I354">
        <v>935</v>
      </c>
      <c r="J354" s="8">
        <f>Table1[[#This Row],[PartyAVotes]]/Table1[[#This Row],[RegisteredVoters]]</f>
        <v>0.49473684210526314</v>
      </c>
      <c r="K354" s="8">
        <f>Table1[[#This Row],[PartyBVotes]]/Table1[[#This Row],[RegisteredVoters]]</f>
        <v>0.47368421052631576</v>
      </c>
      <c r="L354" s="8">
        <f>Table1[[#This Row],[PartyCVotes]]/Table1[[#This Row],[RegisteredVoters]]</f>
        <v>1.5789473684210527E-2</v>
      </c>
      <c r="M354">
        <f>ABS(Table1[[#This Row],[PartyAVotes]]-Table1[[#This Row],[PartyBVotes]])</f>
        <v>20</v>
      </c>
      <c r="N354" s="11">
        <f>Table1[[#This Row],[TotalVotesCast]]/Table1[[#This Row],[RegisteredVoters]]</f>
        <v>0.98421052631578942</v>
      </c>
      <c r="O354" t="str">
        <f>IF(Table1[[#This Row],[RegisteredVoters]]=Table1[[#This Row],[TotalVotesCast]],"Match","")</f>
        <v/>
      </c>
    </row>
    <row r="355" spans="1:15" ht="13.2">
      <c r="A355" s="1" t="s">
        <v>427</v>
      </c>
      <c r="B355" t="s">
        <v>21</v>
      </c>
      <c r="C355" t="s">
        <v>22</v>
      </c>
      <c r="D355" t="s">
        <v>381</v>
      </c>
      <c r="E355">
        <v>1210</v>
      </c>
      <c r="F355">
        <v>590</v>
      </c>
      <c r="G355">
        <v>560</v>
      </c>
      <c r="H355">
        <v>25</v>
      </c>
      <c r="I355">
        <v>1175</v>
      </c>
      <c r="J355" s="8">
        <f>Table1[[#This Row],[PartyAVotes]]/Table1[[#This Row],[RegisteredVoters]]</f>
        <v>0.48760330578512395</v>
      </c>
      <c r="K355" s="8">
        <f>Table1[[#This Row],[PartyBVotes]]/Table1[[#This Row],[RegisteredVoters]]</f>
        <v>0.46280991735537191</v>
      </c>
      <c r="L355" s="8">
        <f>Table1[[#This Row],[PartyCVotes]]/Table1[[#This Row],[RegisteredVoters]]</f>
        <v>2.0661157024793389E-2</v>
      </c>
      <c r="M355">
        <f>ABS(Table1[[#This Row],[PartyAVotes]]-Table1[[#This Row],[PartyBVotes]])</f>
        <v>30</v>
      </c>
      <c r="N355" s="11">
        <f>Table1[[#This Row],[TotalVotesCast]]/Table1[[#This Row],[RegisteredVoters]]</f>
        <v>0.97107438016528924</v>
      </c>
      <c r="O355" t="str">
        <f>IF(Table1[[#This Row],[RegisteredVoters]]=Table1[[#This Row],[TotalVotesCast]],"Match","")</f>
        <v/>
      </c>
    </row>
    <row r="356" spans="1:15" ht="13.2">
      <c r="A356" s="1" t="s">
        <v>428</v>
      </c>
      <c r="B356" t="s">
        <v>10</v>
      </c>
      <c r="C356" t="s">
        <v>14</v>
      </c>
      <c r="D356" t="s">
        <v>367</v>
      </c>
      <c r="E356">
        <v>660</v>
      </c>
      <c r="F356">
        <v>320</v>
      </c>
      <c r="G356">
        <v>300</v>
      </c>
      <c r="H356">
        <v>15</v>
      </c>
      <c r="I356">
        <v>635</v>
      </c>
      <c r="J356" s="8">
        <f>Table1[[#This Row],[PartyAVotes]]/Table1[[#This Row],[RegisteredVoters]]</f>
        <v>0.48484848484848486</v>
      </c>
      <c r="K356" s="8">
        <f>Table1[[#This Row],[PartyBVotes]]/Table1[[#This Row],[RegisteredVoters]]</f>
        <v>0.45454545454545453</v>
      </c>
      <c r="L356" s="8">
        <f>Table1[[#This Row],[PartyCVotes]]/Table1[[#This Row],[RegisteredVoters]]</f>
        <v>2.2727272727272728E-2</v>
      </c>
      <c r="M356">
        <f>ABS(Table1[[#This Row],[PartyAVotes]]-Table1[[#This Row],[PartyBVotes]])</f>
        <v>20</v>
      </c>
      <c r="N356" s="11">
        <f>Table1[[#This Row],[TotalVotesCast]]/Table1[[#This Row],[RegisteredVoters]]</f>
        <v>0.96212121212121215</v>
      </c>
      <c r="O356" t="str">
        <f>IF(Table1[[#This Row],[RegisteredVoters]]=Table1[[#This Row],[TotalVotesCast]],"Match","")</f>
        <v/>
      </c>
    </row>
    <row r="357" spans="1:15" ht="13.2">
      <c r="A357" s="1" t="s">
        <v>429</v>
      </c>
      <c r="B357" t="s">
        <v>15</v>
      </c>
      <c r="C357" t="s">
        <v>17</v>
      </c>
      <c r="D357" t="s">
        <v>349</v>
      </c>
      <c r="E357">
        <v>710</v>
      </c>
      <c r="F357">
        <v>350</v>
      </c>
      <c r="G357">
        <v>330</v>
      </c>
      <c r="H357">
        <v>15</v>
      </c>
      <c r="I357">
        <v>695</v>
      </c>
      <c r="J357" s="8">
        <f>Table1[[#This Row],[PartyAVotes]]/Table1[[#This Row],[RegisteredVoters]]</f>
        <v>0.49295774647887325</v>
      </c>
      <c r="K357" s="8">
        <f>Table1[[#This Row],[PartyBVotes]]/Table1[[#This Row],[RegisteredVoters]]</f>
        <v>0.46478873239436619</v>
      </c>
      <c r="L357" s="8">
        <f>Table1[[#This Row],[PartyCVotes]]/Table1[[#This Row],[RegisteredVoters]]</f>
        <v>2.1126760563380281E-2</v>
      </c>
      <c r="M357">
        <f>ABS(Table1[[#This Row],[PartyAVotes]]-Table1[[#This Row],[PartyBVotes]])</f>
        <v>20</v>
      </c>
      <c r="N357" s="11">
        <f>Table1[[#This Row],[TotalVotesCast]]/Table1[[#This Row],[RegisteredVoters]]</f>
        <v>0.97887323943661975</v>
      </c>
      <c r="O357" t="str">
        <f>IF(Table1[[#This Row],[RegisteredVoters]]=Table1[[#This Row],[TotalVotesCast]],"Match","")</f>
        <v/>
      </c>
    </row>
    <row r="358" spans="1:15" ht="13.2">
      <c r="A358" s="1" t="s">
        <v>430</v>
      </c>
      <c r="B358" t="s">
        <v>18</v>
      </c>
      <c r="C358" t="s">
        <v>19</v>
      </c>
      <c r="D358" t="s">
        <v>372</v>
      </c>
      <c r="E358">
        <v>980</v>
      </c>
      <c r="F358">
        <v>485</v>
      </c>
      <c r="G358">
        <v>460</v>
      </c>
      <c r="H358">
        <v>20</v>
      </c>
      <c r="I358">
        <v>965</v>
      </c>
      <c r="J358" s="8">
        <f>Table1[[#This Row],[PartyAVotes]]/Table1[[#This Row],[RegisteredVoters]]</f>
        <v>0.49489795918367346</v>
      </c>
      <c r="K358" s="8">
        <f>Table1[[#This Row],[PartyBVotes]]/Table1[[#This Row],[RegisteredVoters]]</f>
        <v>0.46938775510204084</v>
      </c>
      <c r="L358" s="8">
        <f>Table1[[#This Row],[PartyCVotes]]/Table1[[#This Row],[RegisteredVoters]]</f>
        <v>2.0408163265306121E-2</v>
      </c>
      <c r="M358">
        <f>ABS(Table1[[#This Row],[PartyAVotes]]-Table1[[#This Row],[PartyBVotes]])</f>
        <v>25</v>
      </c>
      <c r="N358" s="11">
        <f>Table1[[#This Row],[TotalVotesCast]]/Table1[[#This Row],[RegisteredVoters]]</f>
        <v>0.98469387755102045</v>
      </c>
      <c r="O358" t="str">
        <f>IF(Table1[[#This Row],[RegisteredVoters]]=Table1[[#This Row],[TotalVotesCast]],"Match","")</f>
        <v/>
      </c>
    </row>
    <row r="359" spans="1:15" ht="13.2">
      <c r="A359" s="1" t="s">
        <v>431</v>
      </c>
      <c r="B359" t="s">
        <v>21</v>
      </c>
      <c r="C359" t="s">
        <v>23</v>
      </c>
      <c r="D359" t="s">
        <v>358</v>
      </c>
      <c r="E359">
        <v>1040</v>
      </c>
      <c r="F359">
        <v>515</v>
      </c>
      <c r="G359">
        <v>490</v>
      </c>
      <c r="H359">
        <v>20</v>
      </c>
      <c r="I359">
        <v>1025</v>
      </c>
      <c r="J359" s="8">
        <f>Table1[[#This Row],[PartyAVotes]]/Table1[[#This Row],[RegisteredVoters]]</f>
        <v>0.49519230769230771</v>
      </c>
      <c r="K359" s="8">
        <f>Table1[[#This Row],[PartyBVotes]]/Table1[[#This Row],[RegisteredVoters]]</f>
        <v>0.47115384615384615</v>
      </c>
      <c r="L359" s="8">
        <f>Table1[[#This Row],[PartyCVotes]]/Table1[[#This Row],[RegisteredVoters]]</f>
        <v>1.9230769230769232E-2</v>
      </c>
      <c r="M359">
        <f>ABS(Table1[[#This Row],[PartyAVotes]]-Table1[[#This Row],[PartyBVotes]])</f>
        <v>25</v>
      </c>
      <c r="N359" s="11">
        <f>Table1[[#This Row],[TotalVotesCast]]/Table1[[#This Row],[RegisteredVoters]]</f>
        <v>0.98557692307692313</v>
      </c>
      <c r="O359" t="str">
        <f>IF(Table1[[#This Row],[RegisteredVoters]]=Table1[[#This Row],[TotalVotesCast]],"Match","")</f>
        <v/>
      </c>
    </row>
    <row r="360" spans="1:15" ht="13.2">
      <c r="A360" s="1" t="s">
        <v>432</v>
      </c>
      <c r="B360" t="s">
        <v>10</v>
      </c>
      <c r="C360" t="s">
        <v>11</v>
      </c>
      <c r="D360" t="s">
        <v>399</v>
      </c>
      <c r="E360">
        <v>570</v>
      </c>
      <c r="F360">
        <v>275</v>
      </c>
      <c r="G360">
        <v>255</v>
      </c>
      <c r="H360">
        <v>10</v>
      </c>
      <c r="I360">
        <v>540</v>
      </c>
      <c r="J360" s="8">
        <f>Table1[[#This Row],[PartyAVotes]]/Table1[[#This Row],[RegisteredVoters]]</f>
        <v>0.48245614035087719</v>
      </c>
      <c r="K360" s="8">
        <f>Table1[[#This Row],[PartyBVotes]]/Table1[[#This Row],[RegisteredVoters]]</f>
        <v>0.44736842105263158</v>
      </c>
      <c r="L360" s="8">
        <f>Table1[[#This Row],[PartyCVotes]]/Table1[[#This Row],[RegisteredVoters]]</f>
        <v>1.7543859649122806E-2</v>
      </c>
      <c r="M360">
        <f>ABS(Table1[[#This Row],[PartyAVotes]]-Table1[[#This Row],[PartyBVotes]])</f>
        <v>20</v>
      </c>
      <c r="N360" s="11">
        <f>Table1[[#This Row],[TotalVotesCast]]/Table1[[#This Row],[RegisteredVoters]]</f>
        <v>0.94736842105263153</v>
      </c>
      <c r="O360" t="str">
        <f>IF(Table1[[#This Row],[RegisteredVoters]]=Table1[[#This Row],[TotalVotesCast]],"Match","")</f>
        <v/>
      </c>
    </row>
    <row r="361" spans="1:15" ht="13.2">
      <c r="A361" s="1" t="s">
        <v>433</v>
      </c>
      <c r="B361" t="s">
        <v>15</v>
      </c>
      <c r="C361" t="s">
        <v>16</v>
      </c>
      <c r="D361" t="s">
        <v>399</v>
      </c>
      <c r="E361">
        <v>870</v>
      </c>
      <c r="F361">
        <v>425</v>
      </c>
      <c r="G361">
        <v>405</v>
      </c>
      <c r="H361">
        <v>15</v>
      </c>
      <c r="I361">
        <v>845</v>
      </c>
      <c r="J361" s="8">
        <f>Table1[[#This Row],[PartyAVotes]]/Table1[[#This Row],[RegisteredVoters]]</f>
        <v>0.4885057471264368</v>
      </c>
      <c r="K361" s="8">
        <f>Table1[[#This Row],[PartyBVotes]]/Table1[[#This Row],[RegisteredVoters]]</f>
        <v>0.46551724137931033</v>
      </c>
      <c r="L361" s="8">
        <f>Table1[[#This Row],[PartyCVotes]]/Table1[[#This Row],[RegisteredVoters]]</f>
        <v>1.7241379310344827E-2</v>
      </c>
      <c r="M361">
        <f>ABS(Table1[[#This Row],[PartyAVotes]]-Table1[[#This Row],[PartyBVotes]])</f>
        <v>20</v>
      </c>
      <c r="N361" s="11">
        <f>Table1[[#This Row],[TotalVotesCast]]/Table1[[#This Row],[RegisteredVoters]]</f>
        <v>0.97126436781609193</v>
      </c>
      <c r="O361" t="str">
        <f>IF(Table1[[#This Row],[RegisteredVoters]]=Table1[[#This Row],[TotalVotesCast]],"Match","")</f>
        <v/>
      </c>
    </row>
    <row r="362" spans="1:15" ht="13.2">
      <c r="A362" s="1" t="s">
        <v>434</v>
      </c>
      <c r="B362" t="s">
        <v>18</v>
      </c>
      <c r="C362" t="s">
        <v>20</v>
      </c>
      <c r="D362" t="s">
        <v>435</v>
      </c>
      <c r="E362">
        <v>960</v>
      </c>
      <c r="F362">
        <v>475</v>
      </c>
      <c r="G362">
        <v>455</v>
      </c>
      <c r="H362">
        <v>15</v>
      </c>
      <c r="I362">
        <v>945</v>
      </c>
      <c r="J362" s="8">
        <f>Table1[[#This Row],[PartyAVotes]]/Table1[[#This Row],[RegisteredVoters]]</f>
        <v>0.49479166666666669</v>
      </c>
      <c r="K362" s="8">
        <f>Table1[[#This Row],[PartyBVotes]]/Table1[[#This Row],[RegisteredVoters]]</f>
        <v>0.47395833333333331</v>
      </c>
      <c r="L362" s="8">
        <f>Table1[[#This Row],[PartyCVotes]]/Table1[[#This Row],[RegisteredVoters]]</f>
        <v>1.5625E-2</v>
      </c>
      <c r="M362">
        <f>ABS(Table1[[#This Row],[PartyAVotes]]-Table1[[#This Row],[PartyBVotes]])</f>
        <v>20</v>
      </c>
      <c r="N362" s="11">
        <f>Table1[[#This Row],[TotalVotesCast]]/Table1[[#This Row],[RegisteredVoters]]</f>
        <v>0.984375</v>
      </c>
      <c r="O362" t="str">
        <f>IF(Table1[[#This Row],[RegisteredVoters]]=Table1[[#This Row],[TotalVotesCast]],"Match","")</f>
        <v/>
      </c>
    </row>
    <row r="363" spans="1:15" ht="13.2">
      <c r="A363" s="1" t="s">
        <v>436</v>
      </c>
      <c r="B363" t="s">
        <v>21</v>
      </c>
      <c r="C363" t="s">
        <v>22</v>
      </c>
      <c r="D363" t="s">
        <v>390</v>
      </c>
      <c r="E363">
        <v>1220</v>
      </c>
      <c r="F363">
        <v>595</v>
      </c>
      <c r="G363">
        <v>565</v>
      </c>
      <c r="H363">
        <v>25</v>
      </c>
      <c r="I363">
        <v>1185</v>
      </c>
      <c r="J363" s="8">
        <f>Table1[[#This Row],[PartyAVotes]]/Table1[[#This Row],[RegisteredVoters]]</f>
        <v>0.48770491803278687</v>
      </c>
      <c r="K363" s="8">
        <f>Table1[[#This Row],[PartyBVotes]]/Table1[[#This Row],[RegisteredVoters]]</f>
        <v>0.46311475409836067</v>
      </c>
      <c r="L363" s="8">
        <f>Table1[[#This Row],[PartyCVotes]]/Table1[[#This Row],[RegisteredVoters]]</f>
        <v>2.0491803278688523E-2</v>
      </c>
      <c r="M363">
        <f>ABS(Table1[[#This Row],[PartyAVotes]]-Table1[[#This Row],[PartyBVotes]])</f>
        <v>30</v>
      </c>
      <c r="N363" s="11">
        <f>Table1[[#This Row],[TotalVotesCast]]/Table1[[#This Row],[RegisteredVoters]]</f>
        <v>0.97131147540983609</v>
      </c>
      <c r="O363" t="str">
        <f>IF(Table1[[#This Row],[RegisteredVoters]]=Table1[[#This Row],[TotalVotesCast]],"Match","")</f>
        <v/>
      </c>
    </row>
    <row r="364" spans="1:15" ht="13.2">
      <c r="A364" s="1" t="s">
        <v>437</v>
      </c>
      <c r="B364" t="s">
        <v>10</v>
      </c>
      <c r="C364" t="s">
        <v>14</v>
      </c>
      <c r="D364" t="s">
        <v>372</v>
      </c>
      <c r="E364">
        <v>670</v>
      </c>
      <c r="F364">
        <v>325</v>
      </c>
      <c r="G364">
        <v>305</v>
      </c>
      <c r="H364">
        <v>15</v>
      </c>
      <c r="I364">
        <v>645</v>
      </c>
      <c r="J364" s="8">
        <f>Table1[[#This Row],[PartyAVotes]]/Table1[[#This Row],[RegisteredVoters]]</f>
        <v>0.48507462686567165</v>
      </c>
      <c r="K364" s="8">
        <f>Table1[[#This Row],[PartyBVotes]]/Table1[[#This Row],[RegisteredVoters]]</f>
        <v>0.45522388059701491</v>
      </c>
      <c r="L364" s="8">
        <f>Table1[[#This Row],[PartyCVotes]]/Table1[[#This Row],[RegisteredVoters]]</f>
        <v>2.2388059701492536E-2</v>
      </c>
      <c r="M364">
        <f>ABS(Table1[[#This Row],[PartyAVotes]]-Table1[[#This Row],[PartyBVotes]])</f>
        <v>20</v>
      </c>
      <c r="N364" s="11">
        <f>Table1[[#This Row],[TotalVotesCast]]/Table1[[#This Row],[RegisteredVoters]]</f>
        <v>0.96268656716417911</v>
      </c>
      <c r="O364" t="str">
        <f>IF(Table1[[#This Row],[RegisteredVoters]]=Table1[[#This Row],[TotalVotesCast]],"Match","")</f>
        <v/>
      </c>
    </row>
    <row r="365" spans="1:15" ht="13.2">
      <c r="A365" s="1" t="s">
        <v>438</v>
      </c>
      <c r="B365" t="s">
        <v>15</v>
      </c>
      <c r="C365" t="s">
        <v>17</v>
      </c>
      <c r="D365" t="s">
        <v>358</v>
      </c>
      <c r="E365">
        <v>720</v>
      </c>
      <c r="F365">
        <v>355</v>
      </c>
      <c r="G365">
        <v>335</v>
      </c>
      <c r="H365">
        <v>15</v>
      </c>
      <c r="I365">
        <v>705</v>
      </c>
      <c r="J365" s="8">
        <f>Table1[[#This Row],[PartyAVotes]]/Table1[[#This Row],[RegisteredVoters]]</f>
        <v>0.49305555555555558</v>
      </c>
      <c r="K365" s="8">
        <f>Table1[[#This Row],[PartyBVotes]]/Table1[[#This Row],[RegisteredVoters]]</f>
        <v>0.46527777777777779</v>
      </c>
      <c r="L365" s="8">
        <f>Table1[[#This Row],[PartyCVotes]]/Table1[[#This Row],[RegisteredVoters]]</f>
        <v>2.0833333333333332E-2</v>
      </c>
      <c r="M365">
        <f>ABS(Table1[[#This Row],[PartyAVotes]]-Table1[[#This Row],[PartyBVotes]])</f>
        <v>20</v>
      </c>
      <c r="N365" s="11">
        <f>Table1[[#This Row],[TotalVotesCast]]/Table1[[#This Row],[RegisteredVoters]]</f>
        <v>0.97916666666666663</v>
      </c>
      <c r="O365" t="str">
        <f>IF(Table1[[#This Row],[RegisteredVoters]]=Table1[[#This Row],[TotalVotesCast]],"Match","")</f>
        <v/>
      </c>
    </row>
    <row r="366" spans="1:15" ht="13.2">
      <c r="A366" s="1" t="s">
        <v>439</v>
      </c>
      <c r="B366" t="s">
        <v>18</v>
      </c>
      <c r="C366" t="s">
        <v>19</v>
      </c>
      <c r="D366" t="s">
        <v>381</v>
      </c>
      <c r="E366">
        <v>990</v>
      </c>
      <c r="F366">
        <v>490</v>
      </c>
      <c r="G366">
        <v>465</v>
      </c>
      <c r="H366">
        <v>20</v>
      </c>
      <c r="I366">
        <v>975</v>
      </c>
      <c r="J366" s="8">
        <f>Table1[[#This Row],[PartyAVotes]]/Table1[[#This Row],[RegisteredVoters]]</f>
        <v>0.49494949494949497</v>
      </c>
      <c r="K366" s="8">
        <f>Table1[[#This Row],[PartyBVotes]]/Table1[[#This Row],[RegisteredVoters]]</f>
        <v>0.46969696969696972</v>
      </c>
      <c r="L366" s="8">
        <f>Table1[[#This Row],[PartyCVotes]]/Table1[[#This Row],[RegisteredVoters]]</f>
        <v>2.0202020202020204E-2</v>
      </c>
      <c r="M366">
        <f>ABS(Table1[[#This Row],[PartyAVotes]]-Table1[[#This Row],[PartyBVotes]])</f>
        <v>25</v>
      </c>
      <c r="N366" s="11">
        <f>Table1[[#This Row],[TotalVotesCast]]/Table1[[#This Row],[RegisteredVoters]]</f>
        <v>0.98484848484848486</v>
      </c>
      <c r="O366" t="str">
        <f>IF(Table1[[#This Row],[RegisteredVoters]]=Table1[[#This Row],[TotalVotesCast]],"Match","")</f>
        <v/>
      </c>
    </row>
    <row r="367" spans="1:15" ht="13.2">
      <c r="A367" s="1" t="s">
        <v>440</v>
      </c>
      <c r="B367" t="s">
        <v>21</v>
      </c>
      <c r="C367" t="s">
        <v>23</v>
      </c>
      <c r="D367" t="s">
        <v>367</v>
      </c>
      <c r="E367">
        <v>1050</v>
      </c>
      <c r="F367">
        <v>520</v>
      </c>
      <c r="G367">
        <v>495</v>
      </c>
      <c r="H367">
        <v>20</v>
      </c>
      <c r="I367">
        <v>1035</v>
      </c>
      <c r="J367" s="8">
        <f>Table1[[#This Row],[PartyAVotes]]/Table1[[#This Row],[RegisteredVoters]]</f>
        <v>0.49523809523809526</v>
      </c>
      <c r="K367" s="8">
        <f>Table1[[#This Row],[PartyBVotes]]/Table1[[#This Row],[RegisteredVoters]]</f>
        <v>0.47142857142857142</v>
      </c>
      <c r="L367" s="8">
        <f>Table1[[#This Row],[PartyCVotes]]/Table1[[#This Row],[RegisteredVoters]]</f>
        <v>1.9047619047619049E-2</v>
      </c>
      <c r="M367">
        <f>ABS(Table1[[#This Row],[PartyAVotes]]-Table1[[#This Row],[PartyBVotes]])</f>
        <v>25</v>
      </c>
      <c r="N367" s="11">
        <f>Table1[[#This Row],[TotalVotesCast]]/Table1[[#This Row],[RegisteredVoters]]</f>
        <v>0.98571428571428577</v>
      </c>
      <c r="O367" t="str">
        <f>IF(Table1[[#This Row],[RegisteredVoters]]=Table1[[#This Row],[TotalVotesCast]],"Match","")</f>
        <v/>
      </c>
    </row>
    <row r="368" spans="1:15" ht="13.2">
      <c r="A368" s="1" t="s">
        <v>441</v>
      </c>
      <c r="B368" t="s">
        <v>10</v>
      </c>
      <c r="C368" t="s">
        <v>11</v>
      </c>
      <c r="D368" t="s">
        <v>408</v>
      </c>
      <c r="E368">
        <v>580</v>
      </c>
      <c r="F368">
        <v>280</v>
      </c>
      <c r="G368">
        <v>260</v>
      </c>
      <c r="H368">
        <v>10</v>
      </c>
      <c r="I368">
        <v>550</v>
      </c>
      <c r="J368" s="8">
        <f>Table1[[#This Row],[PartyAVotes]]/Table1[[#This Row],[RegisteredVoters]]</f>
        <v>0.48275862068965519</v>
      </c>
      <c r="K368" s="8">
        <f>Table1[[#This Row],[PartyBVotes]]/Table1[[#This Row],[RegisteredVoters]]</f>
        <v>0.44827586206896552</v>
      </c>
      <c r="L368" s="8">
        <f>Table1[[#This Row],[PartyCVotes]]/Table1[[#This Row],[RegisteredVoters]]</f>
        <v>1.7241379310344827E-2</v>
      </c>
      <c r="M368">
        <f>ABS(Table1[[#This Row],[PartyAVotes]]-Table1[[#This Row],[PartyBVotes]])</f>
        <v>20</v>
      </c>
      <c r="N368" s="11">
        <f>Table1[[#This Row],[TotalVotesCast]]/Table1[[#This Row],[RegisteredVoters]]</f>
        <v>0.94827586206896552</v>
      </c>
      <c r="O368" t="str">
        <f>IF(Table1[[#This Row],[RegisteredVoters]]=Table1[[#This Row],[TotalVotesCast]],"Match","")</f>
        <v/>
      </c>
    </row>
    <row r="369" spans="1:15" ht="13.2">
      <c r="A369" s="1" t="s">
        <v>442</v>
      </c>
      <c r="B369" t="s">
        <v>15</v>
      </c>
      <c r="C369" t="s">
        <v>16</v>
      </c>
      <c r="D369" t="s">
        <v>408</v>
      </c>
      <c r="E369">
        <v>880</v>
      </c>
      <c r="F369">
        <v>430</v>
      </c>
      <c r="G369">
        <v>410</v>
      </c>
      <c r="H369">
        <v>15</v>
      </c>
      <c r="I369">
        <v>855</v>
      </c>
      <c r="J369" s="8">
        <f>Table1[[#This Row],[PartyAVotes]]/Table1[[#This Row],[RegisteredVoters]]</f>
        <v>0.48863636363636365</v>
      </c>
      <c r="K369" s="8">
        <f>Table1[[#This Row],[PartyBVotes]]/Table1[[#This Row],[RegisteredVoters]]</f>
        <v>0.46590909090909088</v>
      </c>
      <c r="L369" s="8">
        <f>Table1[[#This Row],[PartyCVotes]]/Table1[[#This Row],[RegisteredVoters]]</f>
        <v>1.7045454545454544E-2</v>
      </c>
      <c r="M369">
        <f>ABS(Table1[[#This Row],[PartyAVotes]]-Table1[[#This Row],[PartyBVotes]])</f>
        <v>20</v>
      </c>
      <c r="N369" s="11">
        <f>Table1[[#This Row],[TotalVotesCast]]/Table1[[#This Row],[RegisteredVoters]]</f>
        <v>0.97159090909090906</v>
      </c>
      <c r="O369" t="str">
        <f>IF(Table1[[#This Row],[RegisteredVoters]]=Table1[[#This Row],[TotalVotesCast]],"Match","")</f>
        <v/>
      </c>
    </row>
    <row r="370" spans="1:15" ht="13.2">
      <c r="A370" s="1" t="s">
        <v>443</v>
      </c>
      <c r="B370" t="s">
        <v>18</v>
      </c>
      <c r="C370" t="s">
        <v>20</v>
      </c>
      <c r="D370" t="s">
        <v>444</v>
      </c>
      <c r="E370">
        <v>970</v>
      </c>
      <c r="F370">
        <v>480</v>
      </c>
      <c r="G370">
        <v>460</v>
      </c>
      <c r="H370">
        <v>15</v>
      </c>
      <c r="I370">
        <v>955</v>
      </c>
      <c r="J370" s="8">
        <f>Table1[[#This Row],[PartyAVotes]]/Table1[[#This Row],[RegisteredVoters]]</f>
        <v>0.49484536082474229</v>
      </c>
      <c r="K370" s="8">
        <f>Table1[[#This Row],[PartyBVotes]]/Table1[[#This Row],[RegisteredVoters]]</f>
        <v>0.47422680412371132</v>
      </c>
      <c r="L370" s="8">
        <f>Table1[[#This Row],[PartyCVotes]]/Table1[[#This Row],[RegisteredVoters]]</f>
        <v>1.5463917525773196E-2</v>
      </c>
      <c r="M370">
        <f>ABS(Table1[[#This Row],[PartyAVotes]]-Table1[[#This Row],[PartyBVotes]])</f>
        <v>20</v>
      </c>
      <c r="N370" s="11">
        <f>Table1[[#This Row],[TotalVotesCast]]/Table1[[#This Row],[RegisteredVoters]]</f>
        <v>0.98453608247422686</v>
      </c>
      <c r="O370" t="str">
        <f>IF(Table1[[#This Row],[RegisteredVoters]]=Table1[[#This Row],[TotalVotesCast]],"Match","")</f>
        <v/>
      </c>
    </row>
    <row r="371" spans="1:15" ht="13.2">
      <c r="A371" s="1" t="s">
        <v>445</v>
      </c>
      <c r="B371" t="s">
        <v>21</v>
      </c>
      <c r="C371" t="s">
        <v>22</v>
      </c>
      <c r="D371" t="s">
        <v>399</v>
      </c>
      <c r="E371">
        <v>1230</v>
      </c>
      <c r="F371">
        <v>600</v>
      </c>
      <c r="G371">
        <v>570</v>
      </c>
      <c r="H371">
        <v>25</v>
      </c>
      <c r="I371">
        <v>1195</v>
      </c>
      <c r="J371" s="8">
        <f>Table1[[#This Row],[PartyAVotes]]/Table1[[#This Row],[RegisteredVoters]]</f>
        <v>0.48780487804878048</v>
      </c>
      <c r="K371" s="8">
        <f>Table1[[#This Row],[PartyBVotes]]/Table1[[#This Row],[RegisteredVoters]]</f>
        <v>0.46341463414634149</v>
      </c>
      <c r="L371" s="8">
        <f>Table1[[#This Row],[PartyCVotes]]/Table1[[#This Row],[RegisteredVoters]]</f>
        <v>2.032520325203252E-2</v>
      </c>
      <c r="M371">
        <f>ABS(Table1[[#This Row],[PartyAVotes]]-Table1[[#This Row],[PartyBVotes]])</f>
        <v>30</v>
      </c>
      <c r="N371" s="11">
        <f>Table1[[#This Row],[TotalVotesCast]]/Table1[[#This Row],[RegisteredVoters]]</f>
        <v>0.97154471544715448</v>
      </c>
      <c r="O371" t="str">
        <f>IF(Table1[[#This Row],[RegisteredVoters]]=Table1[[#This Row],[TotalVotesCast]],"Match","")</f>
        <v/>
      </c>
    </row>
    <row r="372" spans="1:15" ht="13.2">
      <c r="A372" s="1" t="s">
        <v>446</v>
      </c>
      <c r="B372" t="s">
        <v>10</v>
      </c>
      <c r="C372" t="s">
        <v>14</v>
      </c>
      <c r="D372" t="s">
        <v>381</v>
      </c>
      <c r="E372">
        <v>680</v>
      </c>
      <c r="F372">
        <v>330</v>
      </c>
      <c r="G372">
        <v>310</v>
      </c>
      <c r="H372">
        <v>15</v>
      </c>
      <c r="I372">
        <v>655</v>
      </c>
      <c r="J372" s="8">
        <f>Table1[[#This Row],[PartyAVotes]]/Table1[[#This Row],[RegisteredVoters]]</f>
        <v>0.48529411764705882</v>
      </c>
      <c r="K372" s="8">
        <f>Table1[[#This Row],[PartyBVotes]]/Table1[[#This Row],[RegisteredVoters]]</f>
        <v>0.45588235294117646</v>
      </c>
      <c r="L372" s="8">
        <f>Table1[[#This Row],[PartyCVotes]]/Table1[[#This Row],[RegisteredVoters]]</f>
        <v>2.2058823529411766E-2</v>
      </c>
      <c r="M372">
        <f>ABS(Table1[[#This Row],[PartyAVotes]]-Table1[[#This Row],[PartyBVotes]])</f>
        <v>20</v>
      </c>
      <c r="N372" s="11">
        <f>Table1[[#This Row],[TotalVotesCast]]/Table1[[#This Row],[RegisteredVoters]]</f>
        <v>0.96323529411764708</v>
      </c>
      <c r="O372" t="str">
        <f>IF(Table1[[#This Row],[RegisteredVoters]]=Table1[[#This Row],[TotalVotesCast]],"Match","")</f>
        <v/>
      </c>
    </row>
    <row r="373" spans="1:15" ht="13.2">
      <c r="A373" s="1" t="s">
        <v>447</v>
      </c>
      <c r="B373" t="s">
        <v>15</v>
      </c>
      <c r="C373" t="s">
        <v>17</v>
      </c>
      <c r="D373" t="s">
        <v>367</v>
      </c>
      <c r="E373">
        <v>730</v>
      </c>
      <c r="F373">
        <v>360</v>
      </c>
      <c r="G373">
        <v>340</v>
      </c>
      <c r="H373">
        <v>15</v>
      </c>
      <c r="I373">
        <v>715</v>
      </c>
      <c r="J373" s="8">
        <f>Table1[[#This Row],[PartyAVotes]]/Table1[[#This Row],[RegisteredVoters]]</f>
        <v>0.49315068493150682</v>
      </c>
      <c r="K373" s="8">
        <f>Table1[[#This Row],[PartyBVotes]]/Table1[[#This Row],[RegisteredVoters]]</f>
        <v>0.46575342465753422</v>
      </c>
      <c r="L373" s="8">
        <f>Table1[[#This Row],[PartyCVotes]]/Table1[[#This Row],[RegisteredVoters]]</f>
        <v>2.0547945205479451E-2</v>
      </c>
      <c r="M373">
        <f>ABS(Table1[[#This Row],[PartyAVotes]]-Table1[[#This Row],[PartyBVotes]])</f>
        <v>20</v>
      </c>
      <c r="N373" s="11">
        <f>Table1[[#This Row],[TotalVotesCast]]/Table1[[#This Row],[RegisteredVoters]]</f>
        <v>0.97945205479452058</v>
      </c>
      <c r="O373" t="str">
        <f>IF(Table1[[#This Row],[RegisteredVoters]]=Table1[[#This Row],[TotalVotesCast]],"Match","")</f>
        <v/>
      </c>
    </row>
    <row r="374" spans="1:15" ht="13.2">
      <c r="A374" s="1" t="s">
        <v>448</v>
      </c>
      <c r="B374" t="s">
        <v>18</v>
      </c>
      <c r="C374" t="s">
        <v>19</v>
      </c>
      <c r="D374" t="s">
        <v>390</v>
      </c>
      <c r="E374">
        <v>1000</v>
      </c>
      <c r="F374">
        <v>495</v>
      </c>
      <c r="G374">
        <v>470</v>
      </c>
      <c r="H374">
        <v>20</v>
      </c>
      <c r="I374">
        <v>985</v>
      </c>
      <c r="J374" s="8">
        <f>Table1[[#This Row],[PartyAVotes]]/Table1[[#This Row],[RegisteredVoters]]</f>
        <v>0.495</v>
      </c>
      <c r="K374" s="8">
        <f>Table1[[#This Row],[PartyBVotes]]/Table1[[#This Row],[RegisteredVoters]]</f>
        <v>0.47</v>
      </c>
      <c r="L374" s="8">
        <f>Table1[[#This Row],[PartyCVotes]]/Table1[[#This Row],[RegisteredVoters]]</f>
        <v>0.02</v>
      </c>
      <c r="M374">
        <f>ABS(Table1[[#This Row],[PartyAVotes]]-Table1[[#This Row],[PartyBVotes]])</f>
        <v>25</v>
      </c>
      <c r="N374" s="11">
        <f>Table1[[#This Row],[TotalVotesCast]]/Table1[[#This Row],[RegisteredVoters]]</f>
        <v>0.98499999999999999</v>
      </c>
      <c r="O374" t="str">
        <f>IF(Table1[[#This Row],[RegisteredVoters]]=Table1[[#This Row],[TotalVotesCast]],"Match","")</f>
        <v/>
      </c>
    </row>
    <row r="375" spans="1:15" ht="13.2">
      <c r="A375" s="1" t="s">
        <v>449</v>
      </c>
      <c r="B375" t="s">
        <v>21</v>
      </c>
      <c r="C375" t="s">
        <v>23</v>
      </c>
      <c r="D375" t="s">
        <v>372</v>
      </c>
      <c r="E375">
        <v>1060</v>
      </c>
      <c r="F375">
        <v>525</v>
      </c>
      <c r="G375">
        <v>500</v>
      </c>
      <c r="H375">
        <v>20</v>
      </c>
      <c r="I375">
        <v>1045</v>
      </c>
      <c r="J375" s="8">
        <f>Table1[[#This Row],[PartyAVotes]]/Table1[[#This Row],[RegisteredVoters]]</f>
        <v>0.49528301886792453</v>
      </c>
      <c r="K375" s="8">
        <f>Table1[[#This Row],[PartyBVotes]]/Table1[[#This Row],[RegisteredVoters]]</f>
        <v>0.47169811320754718</v>
      </c>
      <c r="L375" s="8">
        <f>Table1[[#This Row],[PartyCVotes]]/Table1[[#This Row],[RegisteredVoters]]</f>
        <v>1.8867924528301886E-2</v>
      </c>
      <c r="M375">
        <f>ABS(Table1[[#This Row],[PartyAVotes]]-Table1[[#This Row],[PartyBVotes]])</f>
        <v>25</v>
      </c>
      <c r="N375" s="11">
        <f>Table1[[#This Row],[TotalVotesCast]]/Table1[[#This Row],[RegisteredVoters]]</f>
        <v>0.98584905660377353</v>
      </c>
      <c r="O375" t="str">
        <f>IF(Table1[[#This Row],[RegisteredVoters]]=Table1[[#This Row],[TotalVotesCast]],"Match","")</f>
        <v/>
      </c>
    </row>
    <row r="376" spans="1:15" ht="13.2">
      <c r="A376" s="1" t="s">
        <v>450</v>
      </c>
      <c r="B376" t="s">
        <v>10</v>
      </c>
      <c r="C376" t="s">
        <v>11</v>
      </c>
      <c r="D376" t="s">
        <v>417</v>
      </c>
      <c r="E376">
        <v>590</v>
      </c>
      <c r="F376">
        <v>285</v>
      </c>
      <c r="G376">
        <v>265</v>
      </c>
      <c r="H376">
        <v>10</v>
      </c>
      <c r="I376">
        <v>560</v>
      </c>
      <c r="J376" s="8">
        <f>Table1[[#This Row],[PartyAVotes]]/Table1[[#This Row],[RegisteredVoters]]</f>
        <v>0.48305084745762711</v>
      </c>
      <c r="K376" s="8">
        <f>Table1[[#This Row],[PartyBVotes]]/Table1[[#This Row],[RegisteredVoters]]</f>
        <v>0.44915254237288138</v>
      </c>
      <c r="L376" s="8">
        <f>Table1[[#This Row],[PartyCVotes]]/Table1[[#This Row],[RegisteredVoters]]</f>
        <v>1.6949152542372881E-2</v>
      </c>
      <c r="M376">
        <f>ABS(Table1[[#This Row],[PartyAVotes]]-Table1[[#This Row],[PartyBVotes]])</f>
        <v>20</v>
      </c>
      <c r="N376" s="11">
        <f>Table1[[#This Row],[TotalVotesCast]]/Table1[[#This Row],[RegisteredVoters]]</f>
        <v>0.94915254237288138</v>
      </c>
      <c r="O376" t="str">
        <f>IF(Table1[[#This Row],[RegisteredVoters]]=Table1[[#This Row],[TotalVotesCast]],"Match","")</f>
        <v/>
      </c>
    </row>
    <row r="377" spans="1:15" ht="13.2">
      <c r="A377" s="1" t="s">
        <v>451</v>
      </c>
      <c r="B377" t="s">
        <v>15</v>
      </c>
      <c r="C377" t="s">
        <v>16</v>
      </c>
      <c r="D377" t="s">
        <v>417</v>
      </c>
      <c r="E377">
        <v>890</v>
      </c>
      <c r="F377">
        <v>435</v>
      </c>
      <c r="G377">
        <v>415</v>
      </c>
      <c r="H377">
        <v>15</v>
      </c>
      <c r="I377">
        <v>865</v>
      </c>
      <c r="J377" s="8">
        <f>Table1[[#This Row],[PartyAVotes]]/Table1[[#This Row],[RegisteredVoters]]</f>
        <v>0.4887640449438202</v>
      </c>
      <c r="K377" s="8">
        <f>Table1[[#This Row],[PartyBVotes]]/Table1[[#This Row],[RegisteredVoters]]</f>
        <v>0.46629213483146065</v>
      </c>
      <c r="L377" s="8">
        <f>Table1[[#This Row],[PartyCVotes]]/Table1[[#This Row],[RegisteredVoters]]</f>
        <v>1.6853932584269662E-2</v>
      </c>
      <c r="M377">
        <f>ABS(Table1[[#This Row],[PartyAVotes]]-Table1[[#This Row],[PartyBVotes]])</f>
        <v>20</v>
      </c>
      <c r="N377" s="11">
        <f>Table1[[#This Row],[TotalVotesCast]]/Table1[[#This Row],[RegisteredVoters]]</f>
        <v>0.9719101123595506</v>
      </c>
      <c r="O377" t="str">
        <f>IF(Table1[[#This Row],[RegisteredVoters]]=Table1[[#This Row],[TotalVotesCast]],"Match","")</f>
        <v/>
      </c>
    </row>
    <row r="378" spans="1:15" ht="13.2">
      <c r="A378" s="1" t="s">
        <v>452</v>
      </c>
      <c r="B378" t="s">
        <v>18</v>
      </c>
      <c r="C378" t="s">
        <v>20</v>
      </c>
      <c r="D378" t="s">
        <v>453</v>
      </c>
      <c r="E378">
        <v>980</v>
      </c>
      <c r="F378">
        <v>485</v>
      </c>
      <c r="G378">
        <v>465</v>
      </c>
      <c r="H378">
        <v>15</v>
      </c>
      <c r="I378">
        <v>965</v>
      </c>
      <c r="J378" s="8">
        <f>Table1[[#This Row],[PartyAVotes]]/Table1[[#This Row],[RegisteredVoters]]</f>
        <v>0.49489795918367346</v>
      </c>
      <c r="K378" s="8">
        <f>Table1[[#This Row],[PartyBVotes]]/Table1[[#This Row],[RegisteredVoters]]</f>
        <v>0.47448979591836737</v>
      </c>
      <c r="L378" s="8">
        <f>Table1[[#This Row],[PartyCVotes]]/Table1[[#This Row],[RegisteredVoters]]</f>
        <v>1.5306122448979591E-2</v>
      </c>
      <c r="M378">
        <f>ABS(Table1[[#This Row],[PartyAVotes]]-Table1[[#This Row],[PartyBVotes]])</f>
        <v>20</v>
      </c>
      <c r="N378" s="11">
        <f>Table1[[#This Row],[TotalVotesCast]]/Table1[[#This Row],[RegisteredVoters]]</f>
        <v>0.98469387755102045</v>
      </c>
      <c r="O378" t="str">
        <f>IF(Table1[[#This Row],[RegisteredVoters]]=Table1[[#This Row],[TotalVotesCast]],"Match","")</f>
        <v/>
      </c>
    </row>
    <row r="379" spans="1:15" ht="13.2">
      <c r="A379" s="1" t="s">
        <v>454</v>
      </c>
      <c r="B379" t="s">
        <v>21</v>
      </c>
      <c r="C379" t="s">
        <v>22</v>
      </c>
      <c r="D379" t="s">
        <v>408</v>
      </c>
      <c r="E379">
        <v>1240</v>
      </c>
      <c r="F379">
        <v>605</v>
      </c>
      <c r="G379">
        <v>575</v>
      </c>
      <c r="H379">
        <v>25</v>
      </c>
      <c r="I379">
        <v>1205</v>
      </c>
      <c r="J379" s="8">
        <f>Table1[[#This Row],[PartyAVotes]]/Table1[[#This Row],[RegisteredVoters]]</f>
        <v>0.48790322580645162</v>
      </c>
      <c r="K379" s="8">
        <f>Table1[[#This Row],[PartyBVotes]]/Table1[[#This Row],[RegisteredVoters]]</f>
        <v>0.46370967741935482</v>
      </c>
      <c r="L379" s="8">
        <f>Table1[[#This Row],[PartyCVotes]]/Table1[[#This Row],[RegisteredVoters]]</f>
        <v>2.0161290322580645E-2</v>
      </c>
      <c r="M379">
        <f>ABS(Table1[[#This Row],[PartyAVotes]]-Table1[[#This Row],[PartyBVotes]])</f>
        <v>30</v>
      </c>
      <c r="N379" s="11">
        <f>Table1[[#This Row],[TotalVotesCast]]/Table1[[#This Row],[RegisteredVoters]]</f>
        <v>0.97177419354838712</v>
      </c>
      <c r="O379" t="str">
        <f>IF(Table1[[#This Row],[RegisteredVoters]]=Table1[[#This Row],[TotalVotesCast]],"Match","")</f>
        <v/>
      </c>
    </row>
    <row r="380" spans="1:15" ht="13.2">
      <c r="A380" s="1" t="s">
        <v>455</v>
      </c>
      <c r="B380" t="s">
        <v>10</v>
      </c>
      <c r="C380" t="s">
        <v>14</v>
      </c>
      <c r="D380" t="s">
        <v>390</v>
      </c>
      <c r="E380">
        <v>690</v>
      </c>
      <c r="F380">
        <v>335</v>
      </c>
      <c r="G380">
        <v>315</v>
      </c>
      <c r="H380">
        <v>15</v>
      </c>
      <c r="I380">
        <v>665</v>
      </c>
      <c r="J380" s="8">
        <f>Table1[[#This Row],[PartyAVotes]]/Table1[[#This Row],[RegisteredVoters]]</f>
        <v>0.48550724637681159</v>
      </c>
      <c r="K380" s="8">
        <f>Table1[[#This Row],[PartyBVotes]]/Table1[[#This Row],[RegisteredVoters]]</f>
        <v>0.45652173913043476</v>
      </c>
      <c r="L380" s="8">
        <f>Table1[[#This Row],[PartyCVotes]]/Table1[[#This Row],[RegisteredVoters]]</f>
        <v>2.1739130434782608E-2</v>
      </c>
      <c r="M380">
        <f>ABS(Table1[[#This Row],[PartyAVotes]]-Table1[[#This Row],[PartyBVotes]])</f>
        <v>20</v>
      </c>
      <c r="N380" s="11">
        <f>Table1[[#This Row],[TotalVotesCast]]/Table1[[#This Row],[RegisteredVoters]]</f>
        <v>0.96376811594202894</v>
      </c>
      <c r="O380" t="str">
        <f>IF(Table1[[#This Row],[RegisteredVoters]]=Table1[[#This Row],[TotalVotesCast]],"Match","")</f>
        <v/>
      </c>
    </row>
    <row r="381" spans="1:15" ht="13.2">
      <c r="A381" s="1" t="s">
        <v>456</v>
      </c>
      <c r="B381" t="s">
        <v>15</v>
      </c>
      <c r="C381" t="s">
        <v>17</v>
      </c>
      <c r="D381" t="s">
        <v>372</v>
      </c>
      <c r="E381">
        <v>740</v>
      </c>
      <c r="F381">
        <v>365</v>
      </c>
      <c r="G381">
        <v>345</v>
      </c>
      <c r="H381">
        <v>15</v>
      </c>
      <c r="I381">
        <v>725</v>
      </c>
      <c r="J381" s="8">
        <f>Table1[[#This Row],[PartyAVotes]]/Table1[[#This Row],[RegisteredVoters]]</f>
        <v>0.49324324324324326</v>
      </c>
      <c r="K381" s="8">
        <f>Table1[[#This Row],[PartyBVotes]]/Table1[[#This Row],[RegisteredVoters]]</f>
        <v>0.46621621621621623</v>
      </c>
      <c r="L381" s="8">
        <f>Table1[[#This Row],[PartyCVotes]]/Table1[[#This Row],[RegisteredVoters]]</f>
        <v>2.0270270270270271E-2</v>
      </c>
      <c r="M381">
        <f>ABS(Table1[[#This Row],[PartyAVotes]]-Table1[[#This Row],[PartyBVotes]])</f>
        <v>20</v>
      </c>
      <c r="N381" s="11">
        <f>Table1[[#This Row],[TotalVotesCast]]/Table1[[#This Row],[RegisteredVoters]]</f>
        <v>0.97972972972972971</v>
      </c>
      <c r="O381" t="str">
        <f>IF(Table1[[#This Row],[RegisteredVoters]]=Table1[[#This Row],[TotalVotesCast]],"Match","")</f>
        <v/>
      </c>
    </row>
    <row r="382" spans="1:15" ht="13.2">
      <c r="A382" s="1" t="s">
        <v>457</v>
      </c>
      <c r="B382" t="s">
        <v>18</v>
      </c>
      <c r="C382" t="s">
        <v>19</v>
      </c>
      <c r="D382" t="s">
        <v>399</v>
      </c>
      <c r="E382">
        <v>1010</v>
      </c>
      <c r="F382">
        <v>500</v>
      </c>
      <c r="G382">
        <v>475</v>
      </c>
      <c r="H382">
        <v>20</v>
      </c>
      <c r="I382">
        <v>995</v>
      </c>
      <c r="J382" s="8">
        <f>Table1[[#This Row],[PartyAVotes]]/Table1[[#This Row],[RegisteredVoters]]</f>
        <v>0.49504950495049505</v>
      </c>
      <c r="K382" s="8">
        <f>Table1[[#This Row],[PartyBVotes]]/Table1[[#This Row],[RegisteredVoters]]</f>
        <v>0.47029702970297027</v>
      </c>
      <c r="L382" s="8">
        <f>Table1[[#This Row],[PartyCVotes]]/Table1[[#This Row],[RegisteredVoters]]</f>
        <v>1.9801980198019802E-2</v>
      </c>
      <c r="M382">
        <f>ABS(Table1[[#This Row],[PartyAVotes]]-Table1[[#This Row],[PartyBVotes]])</f>
        <v>25</v>
      </c>
      <c r="N382" s="11">
        <f>Table1[[#This Row],[TotalVotesCast]]/Table1[[#This Row],[RegisteredVoters]]</f>
        <v>0.98514851485148514</v>
      </c>
      <c r="O382" t="str">
        <f>IF(Table1[[#This Row],[RegisteredVoters]]=Table1[[#This Row],[TotalVotesCast]],"Match","")</f>
        <v/>
      </c>
    </row>
    <row r="383" spans="1:15" ht="13.2">
      <c r="A383" s="1" t="s">
        <v>458</v>
      </c>
      <c r="B383" t="s">
        <v>21</v>
      </c>
      <c r="C383" t="s">
        <v>23</v>
      </c>
      <c r="D383" t="s">
        <v>381</v>
      </c>
      <c r="E383">
        <v>1070</v>
      </c>
      <c r="F383">
        <v>530</v>
      </c>
      <c r="G383">
        <v>505</v>
      </c>
      <c r="H383">
        <v>20</v>
      </c>
      <c r="I383">
        <v>1055</v>
      </c>
      <c r="J383" s="8">
        <f>Table1[[#This Row],[PartyAVotes]]/Table1[[#This Row],[RegisteredVoters]]</f>
        <v>0.49532710280373832</v>
      </c>
      <c r="K383" s="8">
        <f>Table1[[#This Row],[PartyBVotes]]/Table1[[#This Row],[RegisteredVoters]]</f>
        <v>0.4719626168224299</v>
      </c>
      <c r="L383" s="8">
        <f>Table1[[#This Row],[PartyCVotes]]/Table1[[#This Row],[RegisteredVoters]]</f>
        <v>1.8691588785046728E-2</v>
      </c>
      <c r="M383">
        <f>ABS(Table1[[#This Row],[PartyAVotes]]-Table1[[#This Row],[PartyBVotes]])</f>
        <v>25</v>
      </c>
      <c r="N383" s="11">
        <f>Table1[[#This Row],[TotalVotesCast]]/Table1[[#This Row],[RegisteredVoters]]</f>
        <v>0.98598130841121501</v>
      </c>
      <c r="O383" t="str">
        <f>IF(Table1[[#This Row],[RegisteredVoters]]=Table1[[#This Row],[TotalVotesCast]],"Match","")</f>
        <v/>
      </c>
    </row>
    <row r="384" spans="1:15" ht="13.2">
      <c r="A384" s="1" t="s">
        <v>459</v>
      </c>
      <c r="B384" t="s">
        <v>10</v>
      </c>
      <c r="C384" t="s">
        <v>11</v>
      </c>
      <c r="D384" t="s">
        <v>426</v>
      </c>
      <c r="E384">
        <v>600</v>
      </c>
      <c r="F384">
        <v>290</v>
      </c>
      <c r="G384">
        <v>270</v>
      </c>
      <c r="H384">
        <v>10</v>
      </c>
      <c r="I384">
        <v>570</v>
      </c>
      <c r="J384" s="8">
        <f>Table1[[#This Row],[PartyAVotes]]/Table1[[#This Row],[RegisteredVoters]]</f>
        <v>0.48333333333333334</v>
      </c>
      <c r="K384" s="8">
        <f>Table1[[#This Row],[PartyBVotes]]/Table1[[#This Row],[RegisteredVoters]]</f>
        <v>0.45</v>
      </c>
      <c r="L384" s="8">
        <f>Table1[[#This Row],[PartyCVotes]]/Table1[[#This Row],[RegisteredVoters]]</f>
        <v>1.6666666666666666E-2</v>
      </c>
      <c r="M384">
        <f>ABS(Table1[[#This Row],[PartyAVotes]]-Table1[[#This Row],[PartyBVotes]])</f>
        <v>20</v>
      </c>
      <c r="N384" s="11">
        <f>Table1[[#This Row],[TotalVotesCast]]/Table1[[#This Row],[RegisteredVoters]]</f>
        <v>0.95</v>
      </c>
      <c r="O384" t="str">
        <f>IF(Table1[[#This Row],[RegisteredVoters]]=Table1[[#This Row],[TotalVotesCast]],"Match","")</f>
        <v/>
      </c>
    </row>
    <row r="385" spans="1:15" ht="13.2">
      <c r="A385" s="1" t="s">
        <v>460</v>
      </c>
      <c r="B385" t="s">
        <v>15</v>
      </c>
      <c r="C385" t="s">
        <v>16</v>
      </c>
      <c r="D385" t="s">
        <v>426</v>
      </c>
      <c r="E385">
        <v>900</v>
      </c>
      <c r="F385">
        <v>440</v>
      </c>
      <c r="G385">
        <v>420</v>
      </c>
      <c r="H385">
        <v>15</v>
      </c>
      <c r="I385">
        <v>875</v>
      </c>
      <c r="J385" s="8">
        <f>Table1[[#This Row],[PartyAVotes]]/Table1[[#This Row],[RegisteredVoters]]</f>
        <v>0.48888888888888887</v>
      </c>
      <c r="K385" s="8">
        <f>Table1[[#This Row],[PartyBVotes]]/Table1[[#This Row],[RegisteredVoters]]</f>
        <v>0.46666666666666667</v>
      </c>
      <c r="L385" s="8">
        <f>Table1[[#This Row],[PartyCVotes]]/Table1[[#This Row],[RegisteredVoters]]</f>
        <v>1.6666666666666666E-2</v>
      </c>
      <c r="M385">
        <f>ABS(Table1[[#This Row],[PartyAVotes]]-Table1[[#This Row],[PartyBVotes]])</f>
        <v>20</v>
      </c>
      <c r="N385" s="11">
        <f>Table1[[#This Row],[TotalVotesCast]]/Table1[[#This Row],[RegisteredVoters]]</f>
        <v>0.97222222222222221</v>
      </c>
      <c r="O385" t="str">
        <f>IF(Table1[[#This Row],[RegisteredVoters]]=Table1[[#This Row],[TotalVotesCast]],"Match","")</f>
        <v/>
      </c>
    </row>
    <row r="386" spans="1:15" ht="13.2">
      <c r="A386" s="1" t="s">
        <v>461</v>
      </c>
      <c r="B386" t="s">
        <v>18</v>
      </c>
      <c r="C386" t="s">
        <v>20</v>
      </c>
      <c r="D386" t="s">
        <v>462</v>
      </c>
      <c r="E386">
        <v>990</v>
      </c>
      <c r="F386">
        <v>490</v>
      </c>
      <c r="G386">
        <v>470</v>
      </c>
      <c r="H386">
        <v>15</v>
      </c>
      <c r="I386">
        <v>975</v>
      </c>
      <c r="J386" s="8">
        <f>Table1[[#This Row],[PartyAVotes]]/Table1[[#This Row],[RegisteredVoters]]</f>
        <v>0.49494949494949497</v>
      </c>
      <c r="K386" s="8">
        <f>Table1[[#This Row],[PartyBVotes]]/Table1[[#This Row],[RegisteredVoters]]</f>
        <v>0.47474747474747475</v>
      </c>
      <c r="L386" s="8">
        <f>Table1[[#This Row],[PartyCVotes]]/Table1[[#This Row],[RegisteredVoters]]</f>
        <v>1.5151515151515152E-2</v>
      </c>
      <c r="M386">
        <f>ABS(Table1[[#This Row],[PartyAVotes]]-Table1[[#This Row],[PartyBVotes]])</f>
        <v>20</v>
      </c>
      <c r="N386" s="11">
        <f>Table1[[#This Row],[TotalVotesCast]]/Table1[[#This Row],[RegisteredVoters]]</f>
        <v>0.98484848484848486</v>
      </c>
      <c r="O386" t="str">
        <f>IF(Table1[[#This Row],[RegisteredVoters]]=Table1[[#This Row],[TotalVotesCast]],"Match","")</f>
        <v/>
      </c>
    </row>
    <row r="387" spans="1:15" ht="13.2">
      <c r="A387" s="1" t="s">
        <v>463</v>
      </c>
      <c r="B387" t="s">
        <v>21</v>
      </c>
      <c r="C387" t="s">
        <v>22</v>
      </c>
      <c r="D387" t="s">
        <v>417</v>
      </c>
      <c r="E387">
        <v>1250</v>
      </c>
      <c r="F387">
        <v>610</v>
      </c>
      <c r="G387">
        <v>580</v>
      </c>
      <c r="H387">
        <v>25</v>
      </c>
      <c r="I387">
        <v>1215</v>
      </c>
      <c r="J387" s="8">
        <f>Table1[[#This Row],[PartyAVotes]]/Table1[[#This Row],[RegisteredVoters]]</f>
        <v>0.48799999999999999</v>
      </c>
      <c r="K387" s="8">
        <f>Table1[[#This Row],[PartyBVotes]]/Table1[[#This Row],[RegisteredVoters]]</f>
        <v>0.46400000000000002</v>
      </c>
      <c r="L387" s="8">
        <f>Table1[[#This Row],[PartyCVotes]]/Table1[[#This Row],[RegisteredVoters]]</f>
        <v>0.02</v>
      </c>
      <c r="M387">
        <f>ABS(Table1[[#This Row],[PartyAVotes]]-Table1[[#This Row],[PartyBVotes]])</f>
        <v>30</v>
      </c>
      <c r="N387" s="11">
        <f>Table1[[#This Row],[TotalVotesCast]]/Table1[[#This Row],[RegisteredVoters]]</f>
        <v>0.97199999999999998</v>
      </c>
      <c r="O387" t="str">
        <f>IF(Table1[[#This Row],[RegisteredVoters]]=Table1[[#This Row],[TotalVotesCast]],"Match","")</f>
        <v/>
      </c>
    </row>
    <row r="388" spans="1:15" ht="13.2">
      <c r="A388" s="1" t="s">
        <v>464</v>
      </c>
      <c r="B388" t="s">
        <v>10</v>
      </c>
      <c r="C388" t="s">
        <v>14</v>
      </c>
      <c r="D388" t="s">
        <v>399</v>
      </c>
      <c r="E388">
        <v>700</v>
      </c>
      <c r="F388">
        <v>340</v>
      </c>
      <c r="G388">
        <v>320</v>
      </c>
      <c r="H388">
        <v>15</v>
      </c>
      <c r="I388">
        <v>675</v>
      </c>
      <c r="J388" s="8">
        <f>Table1[[#This Row],[PartyAVotes]]/Table1[[#This Row],[RegisteredVoters]]</f>
        <v>0.48571428571428571</v>
      </c>
      <c r="K388" s="8">
        <f>Table1[[#This Row],[PartyBVotes]]/Table1[[#This Row],[RegisteredVoters]]</f>
        <v>0.45714285714285713</v>
      </c>
      <c r="L388" s="8">
        <f>Table1[[#This Row],[PartyCVotes]]/Table1[[#This Row],[RegisteredVoters]]</f>
        <v>2.1428571428571429E-2</v>
      </c>
      <c r="M388">
        <f>ABS(Table1[[#This Row],[PartyAVotes]]-Table1[[#This Row],[PartyBVotes]])</f>
        <v>20</v>
      </c>
      <c r="N388" s="11">
        <f>Table1[[#This Row],[TotalVotesCast]]/Table1[[#This Row],[RegisteredVoters]]</f>
        <v>0.9642857142857143</v>
      </c>
      <c r="O388" t="str">
        <f>IF(Table1[[#This Row],[RegisteredVoters]]=Table1[[#This Row],[TotalVotesCast]],"Match","")</f>
        <v/>
      </c>
    </row>
    <row r="389" spans="1:15" ht="13.2">
      <c r="A389" s="1" t="s">
        <v>465</v>
      </c>
      <c r="B389" t="s">
        <v>15</v>
      </c>
      <c r="C389" t="s">
        <v>17</v>
      </c>
      <c r="D389" t="s">
        <v>381</v>
      </c>
      <c r="E389">
        <v>750</v>
      </c>
      <c r="F389">
        <v>370</v>
      </c>
      <c r="G389">
        <v>350</v>
      </c>
      <c r="H389">
        <v>15</v>
      </c>
      <c r="I389">
        <v>735</v>
      </c>
      <c r="J389" s="8">
        <f>Table1[[#This Row],[PartyAVotes]]/Table1[[#This Row],[RegisteredVoters]]</f>
        <v>0.49333333333333335</v>
      </c>
      <c r="K389" s="8">
        <f>Table1[[#This Row],[PartyBVotes]]/Table1[[#This Row],[RegisteredVoters]]</f>
        <v>0.46666666666666667</v>
      </c>
      <c r="L389" s="8">
        <f>Table1[[#This Row],[PartyCVotes]]/Table1[[#This Row],[RegisteredVoters]]</f>
        <v>0.02</v>
      </c>
      <c r="M389">
        <f>ABS(Table1[[#This Row],[PartyAVotes]]-Table1[[#This Row],[PartyBVotes]])</f>
        <v>20</v>
      </c>
      <c r="N389" s="11">
        <f>Table1[[#This Row],[TotalVotesCast]]/Table1[[#This Row],[RegisteredVoters]]</f>
        <v>0.98</v>
      </c>
      <c r="O389" t="str">
        <f>IF(Table1[[#This Row],[RegisteredVoters]]=Table1[[#This Row],[TotalVotesCast]],"Match","")</f>
        <v/>
      </c>
    </row>
    <row r="390" spans="1:15" ht="13.2">
      <c r="A390" s="1" t="s">
        <v>466</v>
      </c>
      <c r="B390" t="s">
        <v>18</v>
      </c>
      <c r="C390" t="s">
        <v>19</v>
      </c>
      <c r="D390" t="s">
        <v>408</v>
      </c>
      <c r="E390">
        <v>1020</v>
      </c>
      <c r="F390">
        <v>505</v>
      </c>
      <c r="G390">
        <v>480</v>
      </c>
      <c r="H390">
        <v>20</v>
      </c>
      <c r="I390">
        <v>1005</v>
      </c>
      <c r="J390" s="8">
        <f>Table1[[#This Row],[PartyAVotes]]/Table1[[#This Row],[RegisteredVoters]]</f>
        <v>0.49509803921568629</v>
      </c>
      <c r="K390" s="8">
        <f>Table1[[#This Row],[PartyBVotes]]/Table1[[#This Row],[RegisteredVoters]]</f>
        <v>0.47058823529411764</v>
      </c>
      <c r="L390" s="8">
        <f>Table1[[#This Row],[PartyCVotes]]/Table1[[#This Row],[RegisteredVoters]]</f>
        <v>1.9607843137254902E-2</v>
      </c>
      <c r="M390">
        <f>ABS(Table1[[#This Row],[PartyAVotes]]-Table1[[#This Row],[PartyBVotes]])</f>
        <v>25</v>
      </c>
      <c r="N390" s="11">
        <f>Table1[[#This Row],[TotalVotesCast]]/Table1[[#This Row],[RegisteredVoters]]</f>
        <v>0.98529411764705888</v>
      </c>
      <c r="O390" t="str">
        <f>IF(Table1[[#This Row],[RegisteredVoters]]=Table1[[#This Row],[TotalVotesCast]],"Match","")</f>
        <v/>
      </c>
    </row>
    <row r="391" spans="1:15" ht="13.2">
      <c r="A391" s="1" t="s">
        <v>467</v>
      </c>
      <c r="B391" t="s">
        <v>21</v>
      </c>
      <c r="C391" t="s">
        <v>23</v>
      </c>
      <c r="D391" t="s">
        <v>390</v>
      </c>
      <c r="E391">
        <v>1080</v>
      </c>
      <c r="F391">
        <v>535</v>
      </c>
      <c r="G391">
        <v>510</v>
      </c>
      <c r="H391">
        <v>20</v>
      </c>
      <c r="I391">
        <v>1065</v>
      </c>
      <c r="J391" s="8">
        <f>Table1[[#This Row],[PartyAVotes]]/Table1[[#This Row],[RegisteredVoters]]</f>
        <v>0.49537037037037035</v>
      </c>
      <c r="K391" s="8">
        <f>Table1[[#This Row],[PartyBVotes]]/Table1[[#This Row],[RegisteredVoters]]</f>
        <v>0.47222222222222221</v>
      </c>
      <c r="L391" s="8">
        <f>Table1[[#This Row],[PartyCVotes]]/Table1[[#This Row],[RegisteredVoters]]</f>
        <v>1.8518518518518517E-2</v>
      </c>
      <c r="M391">
        <f>ABS(Table1[[#This Row],[PartyAVotes]]-Table1[[#This Row],[PartyBVotes]])</f>
        <v>25</v>
      </c>
      <c r="N391" s="11">
        <f>Table1[[#This Row],[TotalVotesCast]]/Table1[[#This Row],[RegisteredVoters]]</f>
        <v>0.98611111111111116</v>
      </c>
      <c r="O391" t="str">
        <f>IF(Table1[[#This Row],[RegisteredVoters]]=Table1[[#This Row],[TotalVotesCast]],"Match","")</f>
        <v/>
      </c>
    </row>
    <row r="392" spans="1:15" ht="13.2">
      <c r="A392" s="1" t="s">
        <v>468</v>
      </c>
      <c r="B392" t="s">
        <v>10</v>
      </c>
      <c r="C392" t="s">
        <v>11</v>
      </c>
      <c r="D392" t="s">
        <v>435</v>
      </c>
      <c r="E392">
        <v>610</v>
      </c>
      <c r="F392">
        <v>295</v>
      </c>
      <c r="G392">
        <v>275</v>
      </c>
      <c r="H392">
        <v>10</v>
      </c>
      <c r="I392">
        <v>580</v>
      </c>
      <c r="J392" s="8">
        <f>Table1[[#This Row],[PartyAVotes]]/Table1[[#This Row],[RegisteredVoters]]</f>
        <v>0.48360655737704916</v>
      </c>
      <c r="K392" s="8">
        <f>Table1[[#This Row],[PartyBVotes]]/Table1[[#This Row],[RegisteredVoters]]</f>
        <v>0.45081967213114754</v>
      </c>
      <c r="L392" s="8">
        <f>Table1[[#This Row],[PartyCVotes]]/Table1[[#This Row],[RegisteredVoters]]</f>
        <v>1.6393442622950821E-2</v>
      </c>
      <c r="M392">
        <f>ABS(Table1[[#This Row],[PartyAVotes]]-Table1[[#This Row],[PartyBVotes]])</f>
        <v>20</v>
      </c>
      <c r="N392" s="11">
        <f>Table1[[#This Row],[TotalVotesCast]]/Table1[[#This Row],[RegisteredVoters]]</f>
        <v>0.95081967213114749</v>
      </c>
      <c r="O392" t="str">
        <f>IF(Table1[[#This Row],[RegisteredVoters]]=Table1[[#This Row],[TotalVotesCast]],"Match","")</f>
        <v/>
      </c>
    </row>
    <row r="393" spans="1:15" ht="13.2">
      <c r="A393" s="1" t="s">
        <v>469</v>
      </c>
      <c r="B393" t="s">
        <v>15</v>
      </c>
      <c r="C393" t="s">
        <v>16</v>
      </c>
      <c r="D393" t="s">
        <v>435</v>
      </c>
      <c r="E393">
        <v>910</v>
      </c>
      <c r="F393">
        <v>445</v>
      </c>
      <c r="G393">
        <v>425</v>
      </c>
      <c r="H393">
        <v>15</v>
      </c>
      <c r="I393">
        <v>885</v>
      </c>
      <c r="J393" s="8">
        <f>Table1[[#This Row],[PartyAVotes]]/Table1[[#This Row],[RegisteredVoters]]</f>
        <v>0.48901098901098899</v>
      </c>
      <c r="K393" s="8">
        <f>Table1[[#This Row],[PartyBVotes]]/Table1[[#This Row],[RegisteredVoters]]</f>
        <v>0.46703296703296704</v>
      </c>
      <c r="L393" s="8">
        <f>Table1[[#This Row],[PartyCVotes]]/Table1[[#This Row],[RegisteredVoters]]</f>
        <v>1.6483516483516484E-2</v>
      </c>
      <c r="M393">
        <f>ABS(Table1[[#This Row],[PartyAVotes]]-Table1[[#This Row],[PartyBVotes]])</f>
        <v>20</v>
      </c>
      <c r="N393" s="11">
        <f>Table1[[#This Row],[TotalVotesCast]]/Table1[[#This Row],[RegisteredVoters]]</f>
        <v>0.97252747252747251</v>
      </c>
      <c r="O393" t="str">
        <f>IF(Table1[[#This Row],[RegisteredVoters]]=Table1[[#This Row],[TotalVotesCast]],"Match","")</f>
        <v/>
      </c>
    </row>
    <row r="394" spans="1:15" ht="13.2">
      <c r="A394" s="1" t="s">
        <v>470</v>
      </c>
      <c r="B394" t="s">
        <v>18</v>
      </c>
      <c r="C394" t="s">
        <v>20</v>
      </c>
      <c r="D394" t="s">
        <v>471</v>
      </c>
      <c r="E394">
        <v>1000</v>
      </c>
      <c r="F394">
        <v>495</v>
      </c>
      <c r="G394">
        <v>475</v>
      </c>
      <c r="H394">
        <v>15</v>
      </c>
      <c r="I394">
        <v>985</v>
      </c>
      <c r="J394" s="8">
        <f>Table1[[#This Row],[PartyAVotes]]/Table1[[#This Row],[RegisteredVoters]]</f>
        <v>0.495</v>
      </c>
      <c r="K394" s="8">
        <f>Table1[[#This Row],[PartyBVotes]]/Table1[[#This Row],[RegisteredVoters]]</f>
        <v>0.47499999999999998</v>
      </c>
      <c r="L394" s="8">
        <f>Table1[[#This Row],[PartyCVotes]]/Table1[[#This Row],[RegisteredVoters]]</f>
        <v>1.4999999999999999E-2</v>
      </c>
      <c r="M394">
        <f>ABS(Table1[[#This Row],[PartyAVotes]]-Table1[[#This Row],[PartyBVotes]])</f>
        <v>20</v>
      </c>
      <c r="N394" s="11">
        <f>Table1[[#This Row],[TotalVotesCast]]/Table1[[#This Row],[RegisteredVoters]]</f>
        <v>0.98499999999999999</v>
      </c>
      <c r="O394" t="str">
        <f>IF(Table1[[#This Row],[RegisteredVoters]]=Table1[[#This Row],[TotalVotesCast]],"Match","")</f>
        <v/>
      </c>
    </row>
    <row r="395" spans="1:15" ht="13.2">
      <c r="A395" s="1" t="s">
        <v>472</v>
      </c>
      <c r="B395" t="s">
        <v>21</v>
      </c>
      <c r="C395" t="s">
        <v>22</v>
      </c>
      <c r="D395" t="s">
        <v>426</v>
      </c>
      <c r="E395">
        <v>1260</v>
      </c>
      <c r="F395">
        <v>615</v>
      </c>
      <c r="G395">
        <v>585</v>
      </c>
      <c r="H395">
        <v>25</v>
      </c>
      <c r="I395">
        <v>1225</v>
      </c>
      <c r="J395" s="8">
        <f>Table1[[#This Row],[PartyAVotes]]/Table1[[#This Row],[RegisteredVoters]]</f>
        <v>0.48809523809523808</v>
      </c>
      <c r="K395" s="8">
        <f>Table1[[#This Row],[PartyBVotes]]/Table1[[#This Row],[RegisteredVoters]]</f>
        <v>0.4642857142857143</v>
      </c>
      <c r="L395" s="8">
        <f>Table1[[#This Row],[PartyCVotes]]/Table1[[#This Row],[RegisteredVoters]]</f>
        <v>1.984126984126984E-2</v>
      </c>
      <c r="M395">
        <f>ABS(Table1[[#This Row],[PartyAVotes]]-Table1[[#This Row],[PartyBVotes]])</f>
        <v>30</v>
      </c>
      <c r="N395" s="11">
        <f>Table1[[#This Row],[TotalVotesCast]]/Table1[[#This Row],[RegisteredVoters]]</f>
        <v>0.97222222222222221</v>
      </c>
      <c r="O395" t="str">
        <f>IF(Table1[[#This Row],[RegisteredVoters]]=Table1[[#This Row],[TotalVotesCast]],"Match","")</f>
        <v/>
      </c>
    </row>
    <row r="396" spans="1:15" ht="13.2">
      <c r="A396" s="1" t="s">
        <v>473</v>
      </c>
      <c r="B396" t="s">
        <v>10</v>
      </c>
      <c r="C396" t="s">
        <v>14</v>
      </c>
      <c r="D396" t="s">
        <v>408</v>
      </c>
      <c r="E396">
        <v>710</v>
      </c>
      <c r="F396">
        <v>345</v>
      </c>
      <c r="G396">
        <v>325</v>
      </c>
      <c r="H396">
        <v>15</v>
      </c>
      <c r="I396">
        <v>685</v>
      </c>
      <c r="J396" s="8">
        <f>Table1[[#This Row],[PartyAVotes]]/Table1[[#This Row],[RegisteredVoters]]</f>
        <v>0.4859154929577465</v>
      </c>
      <c r="K396" s="8">
        <f>Table1[[#This Row],[PartyBVotes]]/Table1[[#This Row],[RegisteredVoters]]</f>
        <v>0.45774647887323944</v>
      </c>
      <c r="L396" s="8">
        <f>Table1[[#This Row],[PartyCVotes]]/Table1[[#This Row],[RegisteredVoters]]</f>
        <v>2.1126760563380281E-2</v>
      </c>
      <c r="M396">
        <f>ABS(Table1[[#This Row],[PartyAVotes]]-Table1[[#This Row],[PartyBVotes]])</f>
        <v>20</v>
      </c>
      <c r="N396" s="11">
        <f>Table1[[#This Row],[TotalVotesCast]]/Table1[[#This Row],[RegisteredVoters]]</f>
        <v>0.96478873239436624</v>
      </c>
      <c r="O396" t="str">
        <f>IF(Table1[[#This Row],[RegisteredVoters]]=Table1[[#This Row],[TotalVotesCast]],"Match","")</f>
        <v/>
      </c>
    </row>
    <row r="397" spans="1:15" ht="13.2">
      <c r="A397" s="1" t="s">
        <v>474</v>
      </c>
      <c r="B397" t="s">
        <v>15</v>
      </c>
      <c r="C397" t="s">
        <v>17</v>
      </c>
      <c r="D397" t="s">
        <v>390</v>
      </c>
      <c r="E397">
        <v>760</v>
      </c>
      <c r="F397">
        <v>375</v>
      </c>
      <c r="G397">
        <v>355</v>
      </c>
      <c r="H397">
        <v>15</v>
      </c>
      <c r="I397">
        <v>745</v>
      </c>
      <c r="J397" s="8">
        <f>Table1[[#This Row],[PartyAVotes]]/Table1[[#This Row],[RegisteredVoters]]</f>
        <v>0.49342105263157893</v>
      </c>
      <c r="K397" s="8">
        <f>Table1[[#This Row],[PartyBVotes]]/Table1[[#This Row],[RegisteredVoters]]</f>
        <v>0.46710526315789475</v>
      </c>
      <c r="L397" s="8">
        <f>Table1[[#This Row],[PartyCVotes]]/Table1[[#This Row],[RegisteredVoters]]</f>
        <v>1.9736842105263157E-2</v>
      </c>
      <c r="M397">
        <f>ABS(Table1[[#This Row],[PartyAVotes]]-Table1[[#This Row],[PartyBVotes]])</f>
        <v>20</v>
      </c>
      <c r="N397" s="11">
        <f>Table1[[#This Row],[TotalVotesCast]]/Table1[[#This Row],[RegisteredVoters]]</f>
        <v>0.98026315789473684</v>
      </c>
      <c r="O397" t="str">
        <f>IF(Table1[[#This Row],[RegisteredVoters]]=Table1[[#This Row],[TotalVotesCast]],"Match","")</f>
        <v/>
      </c>
    </row>
    <row r="398" spans="1:15" ht="13.2">
      <c r="A398" s="1" t="s">
        <v>475</v>
      </c>
      <c r="B398" t="s">
        <v>18</v>
      </c>
      <c r="C398" t="s">
        <v>19</v>
      </c>
      <c r="D398" t="s">
        <v>417</v>
      </c>
      <c r="E398">
        <v>1030</v>
      </c>
      <c r="F398">
        <v>510</v>
      </c>
      <c r="G398">
        <v>485</v>
      </c>
      <c r="H398">
        <v>20</v>
      </c>
      <c r="I398">
        <v>1015</v>
      </c>
      <c r="J398" s="8">
        <f>Table1[[#This Row],[PartyAVotes]]/Table1[[#This Row],[RegisteredVoters]]</f>
        <v>0.49514563106796117</v>
      </c>
      <c r="K398" s="8">
        <f>Table1[[#This Row],[PartyBVotes]]/Table1[[#This Row],[RegisteredVoters]]</f>
        <v>0.470873786407767</v>
      </c>
      <c r="L398" s="8">
        <f>Table1[[#This Row],[PartyCVotes]]/Table1[[#This Row],[RegisteredVoters]]</f>
        <v>1.9417475728155338E-2</v>
      </c>
      <c r="M398">
        <f>ABS(Table1[[#This Row],[PartyAVotes]]-Table1[[#This Row],[PartyBVotes]])</f>
        <v>25</v>
      </c>
      <c r="N398" s="11">
        <f>Table1[[#This Row],[TotalVotesCast]]/Table1[[#This Row],[RegisteredVoters]]</f>
        <v>0.9854368932038835</v>
      </c>
      <c r="O398" t="str">
        <f>IF(Table1[[#This Row],[RegisteredVoters]]=Table1[[#This Row],[TotalVotesCast]],"Match","")</f>
        <v/>
      </c>
    </row>
    <row r="399" spans="1:15" ht="13.2">
      <c r="A399" s="1" t="s">
        <v>476</v>
      </c>
      <c r="B399" t="s">
        <v>21</v>
      </c>
      <c r="C399" t="s">
        <v>23</v>
      </c>
      <c r="D399" t="s">
        <v>399</v>
      </c>
      <c r="E399">
        <v>1090</v>
      </c>
      <c r="F399">
        <v>540</v>
      </c>
      <c r="G399">
        <v>515</v>
      </c>
      <c r="H399">
        <v>20</v>
      </c>
      <c r="I399">
        <v>1075</v>
      </c>
      <c r="J399" s="8">
        <f>Table1[[#This Row],[PartyAVotes]]/Table1[[#This Row],[RegisteredVoters]]</f>
        <v>0.49541284403669728</v>
      </c>
      <c r="K399" s="8">
        <f>Table1[[#This Row],[PartyBVotes]]/Table1[[#This Row],[RegisteredVoters]]</f>
        <v>0.47247706422018348</v>
      </c>
      <c r="L399" s="8">
        <f>Table1[[#This Row],[PartyCVotes]]/Table1[[#This Row],[RegisteredVoters]]</f>
        <v>1.834862385321101E-2</v>
      </c>
      <c r="M399">
        <f>ABS(Table1[[#This Row],[PartyAVotes]]-Table1[[#This Row],[PartyBVotes]])</f>
        <v>25</v>
      </c>
      <c r="N399" s="11">
        <f>Table1[[#This Row],[TotalVotesCast]]/Table1[[#This Row],[RegisteredVoters]]</f>
        <v>0.98623853211009171</v>
      </c>
      <c r="O399" t="str">
        <f>IF(Table1[[#This Row],[RegisteredVoters]]=Table1[[#This Row],[TotalVotesCast]],"Match","")</f>
        <v/>
      </c>
    </row>
    <row r="400" spans="1:15" ht="13.2">
      <c r="A400" s="1" t="s">
        <v>477</v>
      </c>
      <c r="B400" t="s">
        <v>10</v>
      </c>
      <c r="C400" t="s">
        <v>11</v>
      </c>
      <c r="D400" t="s">
        <v>444</v>
      </c>
      <c r="E400">
        <v>620</v>
      </c>
      <c r="F400">
        <v>300</v>
      </c>
      <c r="G400">
        <v>280</v>
      </c>
      <c r="H400">
        <v>10</v>
      </c>
      <c r="I400">
        <v>590</v>
      </c>
      <c r="J400" s="8">
        <f>Table1[[#This Row],[PartyAVotes]]/Table1[[#This Row],[RegisteredVoters]]</f>
        <v>0.4838709677419355</v>
      </c>
      <c r="K400" s="8">
        <f>Table1[[#This Row],[PartyBVotes]]/Table1[[#This Row],[RegisteredVoters]]</f>
        <v>0.45161290322580644</v>
      </c>
      <c r="L400" s="8">
        <f>Table1[[#This Row],[PartyCVotes]]/Table1[[#This Row],[RegisteredVoters]]</f>
        <v>1.6129032258064516E-2</v>
      </c>
      <c r="M400">
        <f>ABS(Table1[[#This Row],[PartyAVotes]]-Table1[[#This Row],[PartyBVotes]])</f>
        <v>20</v>
      </c>
      <c r="N400" s="11">
        <f>Table1[[#This Row],[TotalVotesCast]]/Table1[[#This Row],[RegisteredVoters]]</f>
        <v>0.95161290322580649</v>
      </c>
      <c r="O400" t="str">
        <f>IF(Table1[[#This Row],[RegisteredVoters]]=Table1[[#This Row],[TotalVotesCast]],"Match","")</f>
        <v/>
      </c>
    </row>
    <row r="401" spans="1:15" ht="13.2">
      <c r="A401" s="1" t="s">
        <v>478</v>
      </c>
      <c r="B401" t="s">
        <v>15</v>
      </c>
      <c r="C401" t="s">
        <v>16</v>
      </c>
      <c r="D401" t="s">
        <v>444</v>
      </c>
      <c r="E401">
        <v>920</v>
      </c>
      <c r="F401">
        <v>450</v>
      </c>
      <c r="G401">
        <v>430</v>
      </c>
      <c r="H401">
        <v>15</v>
      </c>
      <c r="I401">
        <v>895</v>
      </c>
      <c r="J401" s="8">
        <f>Table1[[#This Row],[PartyAVotes]]/Table1[[#This Row],[RegisteredVoters]]</f>
        <v>0.4891304347826087</v>
      </c>
      <c r="K401" s="8">
        <f>Table1[[#This Row],[PartyBVotes]]/Table1[[#This Row],[RegisteredVoters]]</f>
        <v>0.46739130434782611</v>
      </c>
      <c r="L401" s="8">
        <f>Table1[[#This Row],[PartyCVotes]]/Table1[[#This Row],[RegisteredVoters]]</f>
        <v>1.6304347826086956E-2</v>
      </c>
      <c r="M401">
        <f>ABS(Table1[[#This Row],[PartyAVotes]]-Table1[[#This Row],[PartyBVotes]])</f>
        <v>20</v>
      </c>
      <c r="N401" s="11">
        <f>Table1[[#This Row],[TotalVotesCast]]/Table1[[#This Row],[RegisteredVoters]]</f>
        <v>0.97282608695652173</v>
      </c>
      <c r="O401" t="str">
        <f>IF(Table1[[#This Row],[RegisteredVoters]]=Table1[[#This Row],[TotalVotesCast]],"Match","")</f>
        <v/>
      </c>
    </row>
    <row r="402" spans="1:15" ht="13.2">
      <c r="A402" s="1" t="s">
        <v>479</v>
      </c>
      <c r="B402" t="s">
        <v>18</v>
      </c>
      <c r="C402" t="s">
        <v>20</v>
      </c>
      <c r="D402" t="s">
        <v>480</v>
      </c>
      <c r="E402">
        <v>1010</v>
      </c>
      <c r="F402">
        <v>500</v>
      </c>
      <c r="G402">
        <v>480</v>
      </c>
      <c r="H402">
        <v>15</v>
      </c>
      <c r="I402">
        <v>995</v>
      </c>
      <c r="J402" s="8">
        <f>Table1[[#This Row],[PartyAVotes]]/Table1[[#This Row],[RegisteredVoters]]</f>
        <v>0.49504950495049505</v>
      </c>
      <c r="K402" s="8">
        <f>Table1[[#This Row],[PartyBVotes]]/Table1[[#This Row],[RegisteredVoters]]</f>
        <v>0.47524752475247523</v>
      </c>
      <c r="L402" s="8">
        <f>Table1[[#This Row],[PartyCVotes]]/Table1[[#This Row],[RegisteredVoters]]</f>
        <v>1.4851485148514851E-2</v>
      </c>
      <c r="M402">
        <f>ABS(Table1[[#This Row],[PartyAVotes]]-Table1[[#This Row],[PartyBVotes]])</f>
        <v>20</v>
      </c>
      <c r="N402" s="11">
        <f>Table1[[#This Row],[TotalVotesCast]]/Table1[[#This Row],[RegisteredVoters]]</f>
        <v>0.98514851485148514</v>
      </c>
      <c r="O402" t="str">
        <f>IF(Table1[[#This Row],[RegisteredVoters]]=Table1[[#This Row],[TotalVotesCast]],"Match","")</f>
        <v/>
      </c>
    </row>
    <row r="403" spans="1:15" ht="13.2">
      <c r="A403" s="1" t="s">
        <v>481</v>
      </c>
      <c r="B403" t="s">
        <v>21</v>
      </c>
      <c r="C403" t="s">
        <v>22</v>
      </c>
      <c r="D403" t="s">
        <v>435</v>
      </c>
      <c r="E403">
        <v>1270</v>
      </c>
      <c r="F403">
        <v>620</v>
      </c>
      <c r="G403">
        <v>590</v>
      </c>
      <c r="H403">
        <v>25</v>
      </c>
      <c r="I403">
        <v>1235</v>
      </c>
      <c r="J403" s="8">
        <f>Table1[[#This Row],[PartyAVotes]]/Table1[[#This Row],[RegisteredVoters]]</f>
        <v>0.48818897637795278</v>
      </c>
      <c r="K403" s="8">
        <f>Table1[[#This Row],[PartyBVotes]]/Table1[[#This Row],[RegisteredVoters]]</f>
        <v>0.46456692913385828</v>
      </c>
      <c r="L403" s="8">
        <f>Table1[[#This Row],[PartyCVotes]]/Table1[[#This Row],[RegisteredVoters]]</f>
        <v>1.968503937007874E-2</v>
      </c>
      <c r="M403">
        <f>ABS(Table1[[#This Row],[PartyAVotes]]-Table1[[#This Row],[PartyBVotes]])</f>
        <v>30</v>
      </c>
      <c r="N403" s="11">
        <f>Table1[[#This Row],[TotalVotesCast]]/Table1[[#This Row],[RegisteredVoters]]</f>
        <v>0.97244094488188981</v>
      </c>
      <c r="O403" t="str">
        <f>IF(Table1[[#This Row],[RegisteredVoters]]=Table1[[#This Row],[TotalVotesCast]],"Match","")</f>
        <v/>
      </c>
    </row>
    <row r="404" spans="1:15" ht="13.2">
      <c r="A404" s="1" t="s">
        <v>482</v>
      </c>
      <c r="B404" t="s">
        <v>10</v>
      </c>
      <c r="C404" t="s">
        <v>11</v>
      </c>
      <c r="D404" t="s">
        <v>453</v>
      </c>
      <c r="E404">
        <v>630</v>
      </c>
      <c r="F404">
        <v>305</v>
      </c>
      <c r="G404">
        <v>285</v>
      </c>
      <c r="H404">
        <v>10</v>
      </c>
      <c r="I404">
        <v>600</v>
      </c>
      <c r="J404" s="8">
        <f>Table1[[#This Row],[PartyAVotes]]/Table1[[#This Row],[RegisteredVoters]]</f>
        <v>0.48412698412698413</v>
      </c>
      <c r="K404" s="8">
        <f>Table1[[#This Row],[PartyBVotes]]/Table1[[#This Row],[RegisteredVoters]]</f>
        <v>0.45238095238095238</v>
      </c>
      <c r="L404" s="8">
        <f>Table1[[#This Row],[PartyCVotes]]/Table1[[#This Row],[RegisteredVoters]]</f>
        <v>1.5873015873015872E-2</v>
      </c>
      <c r="M404">
        <f>ABS(Table1[[#This Row],[PartyAVotes]]-Table1[[#This Row],[PartyBVotes]])</f>
        <v>20</v>
      </c>
      <c r="N404" s="11">
        <f>Table1[[#This Row],[TotalVotesCast]]/Table1[[#This Row],[RegisteredVoters]]</f>
        <v>0.95238095238095233</v>
      </c>
      <c r="O404" t="str">
        <f>IF(Table1[[#This Row],[RegisteredVoters]]=Table1[[#This Row],[TotalVotesCast]],"Match","")</f>
        <v/>
      </c>
    </row>
    <row r="405" spans="1:15" ht="13.2">
      <c r="A405" s="1" t="s">
        <v>483</v>
      </c>
      <c r="B405" t="s">
        <v>15</v>
      </c>
      <c r="C405" t="s">
        <v>16</v>
      </c>
      <c r="D405" t="s">
        <v>453</v>
      </c>
      <c r="E405">
        <v>930</v>
      </c>
      <c r="F405">
        <v>455</v>
      </c>
      <c r="G405">
        <v>435</v>
      </c>
      <c r="H405">
        <v>15</v>
      </c>
      <c r="I405">
        <v>905</v>
      </c>
      <c r="J405" s="8">
        <f>Table1[[#This Row],[PartyAVotes]]/Table1[[#This Row],[RegisteredVoters]]</f>
        <v>0.489247311827957</v>
      </c>
      <c r="K405" s="8">
        <f>Table1[[#This Row],[PartyBVotes]]/Table1[[#This Row],[RegisteredVoters]]</f>
        <v>0.46774193548387094</v>
      </c>
      <c r="L405" s="8">
        <f>Table1[[#This Row],[PartyCVotes]]/Table1[[#This Row],[RegisteredVoters]]</f>
        <v>1.6129032258064516E-2</v>
      </c>
      <c r="M405">
        <f>ABS(Table1[[#This Row],[PartyAVotes]]-Table1[[#This Row],[PartyBVotes]])</f>
        <v>20</v>
      </c>
      <c r="N405" s="11">
        <f>Table1[[#This Row],[TotalVotesCast]]/Table1[[#This Row],[RegisteredVoters]]</f>
        <v>0.9731182795698925</v>
      </c>
      <c r="O405" t="str">
        <f>IF(Table1[[#This Row],[RegisteredVoters]]=Table1[[#This Row],[TotalVotesCast]],"Match","")</f>
        <v/>
      </c>
    </row>
    <row r="406" spans="1:15" ht="13.2">
      <c r="A406" s="1" t="s">
        <v>484</v>
      </c>
      <c r="B406" t="s">
        <v>18</v>
      </c>
      <c r="C406" t="s">
        <v>20</v>
      </c>
      <c r="D406" t="s">
        <v>485</v>
      </c>
      <c r="E406">
        <v>1020</v>
      </c>
      <c r="F406">
        <v>505</v>
      </c>
      <c r="G406">
        <v>485</v>
      </c>
      <c r="H406">
        <v>15</v>
      </c>
      <c r="I406">
        <v>1005</v>
      </c>
      <c r="J406" s="8">
        <f>Table1[[#This Row],[PartyAVotes]]/Table1[[#This Row],[RegisteredVoters]]</f>
        <v>0.49509803921568629</v>
      </c>
      <c r="K406" s="8">
        <f>Table1[[#This Row],[PartyBVotes]]/Table1[[#This Row],[RegisteredVoters]]</f>
        <v>0.47549019607843135</v>
      </c>
      <c r="L406" s="8">
        <f>Table1[[#This Row],[PartyCVotes]]/Table1[[#This Row],[RegisteredVoters]]</f>
        <v>1.4705882352941176E-2</v>
      </c>
      <c r="M406">
        <f>ABS(Table1[[#This Row],[PartyAVotes]]-Table1[[#This Row],[PartyBVotes]])</f>
        <v>20</v>
      </c>
      <c r="N406" s="11">
        <f>Table1[[#This Row],[TotalVotesCast]]/Table1[[#This Row],[RegisteredVoters]]</f>
        <v>0.98529411764705888</v>
      </c>
      <c r="O406" t="str">
        <f>IF(Table1[[#This Row],[RegisteredVoters]]=Table1[[#This Row],[TotalVotesCast]],"Match","")</f>
        <v/>
      </c>
    </row>
    <row r="407" spans="1:15" ht="13.2">
      <c r="A407" s="1" t="s">
        <v>486</v>
      </c>
      <c r="B407" t="s">
        <v>21</v>
      </c>
      <c r="C407" t="s">
        <v>22</v>
      </c>
      <c r="D407" t="s">
        <v>444</v>
      </c>
      <c r="E407">
        <v>1280</v>
      </c>
      <c r="F407">
        <v>625</v>
      </c>
      <c r="G407">
        <v>595</v>
      </c>
      <c r="H407">
        <v>25</v>
      </c>
      <c r="I407">
        <v>1245</v>
      </c>
      <c r="J407" s="8">
        <f>Table1[[#This Row],[PartyAVotes]]/Table1[[#This Row],[RegisteredVoters]]</f>
        <v>0.48828125</v>
      </c>
      <c r="K407" s="8">
        <f>Table1[[#This Row],[PartyBVotes]]/Table1[[#This Row],[RegisteredVoters]]</f>
        <v>0.46484375</v>
      </c>
      <c r="L407" s="8">
        <f>Table1[[#This Row],[PartyCVotes]]/Table1[[#This Row],[RegisteredVoters]]</f>
        <v>1.953125E-2</v>
      </c>
      <c r="M407">
        <f>ABS(Table1[[#This Row],[PartyAVotes]]-Table1[[#This Row],[PartyBVotes]])</f>
        <v>30</v>
      </c>
      <c r="N407" s="11">
        <f>Table1[[#This Row],[TotalVotesCast]]/Table1[[#This Row],[RegisteredVoters]]</f>
        <v>0.97265625</v>
      </c>
      <c r="O407" t="str">
        <f>IF(Table1[[#This Row],[RegisteredVoters]]=Table1[[#This Row],[TotalVotesCast]],"Match","")</f>
        <v/>
      </c>
    </row>
    <row r="408" spans="1:15" ht="13.2">
      <c r="A408" s="1" t="s">
        <v>487</v>
      </c>
      <c r="B408" t="s">
        <v>10</v>
      </c>
      <c r="C408" t="s">
        <v>14</v>
      </c>
      <c r="D408" t="s">
        <v>417</v>
      </c>
      <c r="E408">
        <v>720</v>
      </c>
      <c r="F408">
        <v>350</v>
      </c>
      <c r="G408">
        <v>330</v>
      </c>
      <c r="H408">
        <v>15</v>
      </c>
      <c r="I408">
        <v>695</v>
      </c>
      <c r="J408" s="8">
        <f>Table1[[#This Row],[PartyAVotes]]/Table1[[#This Row],[RegisteredVoters]]</f>
        <v>0.4861111111111111</v>
      </c>
      <c r="K408" s="8">
        <f>Table1[[#This Row],[PartyBVotes]]/Table1[[#This Row],[RegisteredVoters]]</f>
        <v>0.45833333333333331</v>
      </c>
      <c r="L408" s="8">
        <f>Table1[[#This Row],[PartyCVotes]]/Table1[[#This Row],[RegisteredVoters]]</f>
        <v>2.0833333333333332E-2</v>
      </c>
      <c r="M408">
        <f>ABS(Table1[[#This Row],[PartyAVotes]]-Table1[[#This Row],[PartyBVotes]])</f>
        <v>20</v>
      </c>
      <c r="N408" s="11">
        <f>Table1[[#This Row],[TotalVotesCast]]/Table1[[#This Row],[RegisteredVoters]]</f>
        <v>0.96527777777777779</v>
      </c>
      <c r="O408" t="str">
        <f>IF(Table1[[#This Row],[RegisteredVoters]]=Table1[[#This Row],[TotalVotesCast]],"Match","")</f>
        <v/>
      </c>
    </row>
    <row r="409" spans="1:15" ht="13.2">
      <c r="A409" s="1" t="s">
        <v>488</v>
      </c>
      <c r="B409" t="s">
        <v>15</v>
      </c>
      <c r="C409" t="s">
        <v>17</v>
      </c>
      <c r="D409" t="s">
        <v>399</v>
      </c>
      <c r="E409">
        <v>770</v>
      </c>
      <c r="F409">
        <v>380</v>
      </c>
      <c r="G409">
        <v>360</v>
      </c>
      <c r="H409">
        <v>15</v>
      </c>
      <c r="I409">
        <v>755</v>
      </c>
      <c r="J409" s="8">
        <f>Table1[[#This Row],[PartyAVotes]]/Table1[[#This Row],[RegisteredVoters]]</f>
        <v>0.4935064935064935</v>
      </c>
      <c r="K409" s="8">
        <f>Table1[[#This Row],[PartyBVotes]]/Table1[[#This Row],[RegisteredVoters]]</f>
        <v>0.46753246753246752</v>
      </c>
      <c r="L409" s="8">
        <f>Table1[[#This Row],[PartyCVotes]]/Table1[[#This Row],[RegisteredVoters]]</f>
        <v>1.948051948051948E-2</v>
      </c>
      <c r="M409">
        <f>ABS(Table1[[#This Row],[PartyAVotes]]-Table1[[#This Row],[PartyBVotes]])</f>
        <v>20</v>
      </c>
      <c r="N409" s="11">
        <f>Table1[[#This Row],[TotalVotesCast]]/Table1[[#This Row],[RegisteredVoters]]</f>
        <v>0.98051948051948057</v>
      </c>
      <c r="O409" t="str">
        <f>IF(Table1[[#This Row],[RegisteredVoters]]=Table1[[#This Row],[TotalVotesCast]],"Match","")</f>
        <v/>
      </c>
    </row>
    <row r="410" spans="1:15" ht="13.2">
      <c r="A410" s="1" t="s">
        <v>489</v>
      </c>
      <c r="B410" t="s">
        <v>18</v>
      </c>
      <c r="C410" t="s">
        <v>19</v>
      </c>
      <c r="D410" t="s">
        <v>426</v>
      </c>
      <c r="E410">
        <v>1040</v>
      </c>
      <c r="F410">
        <v>515</v>
      </c>
      <c r="G410">
        <v>490</v>
      </c>
      <c r="H410">
        <v>20</v>
      </c>
      <c r="I410">
        <v>1025</v>
      </c>
      <c r="J410" s="8">
        <f>Table1[[#This Row],[PartyAVotes]]/Table1[[#This Row],[RegisteredVoters]]</f>
        <v>0.49519230769230771</v>
      </c>
      <c r="K410" s="8">
        <f>Table1[[#This Row],[PartyBVotes]]/Table1[[#This Row],[RegisteredVoters]]</f>
        <v>0.47115384615384615</v>
      </c>
      <c r="L410" s="8">
        <f>Table1[[#This Row],[PartyCVotes]]/Table1[[#This Row],[RegisteredVoters]]</f>
        <v>1.9230769230769232E-2</v>
      </c>
      <c r="M410">
        <f>ABS(Table1[[#This Row],[PartyAVotes]]-Table1[[#This Row],[PartyBVotes]])</f>
        <v>25</v>
      </c>
      <c r="N410" s="11">
        <f>Table1[[#This Row],[TotalVotesCast]]/Table1[[#This Row],[RegisteredVoters]]</f>
        <v>0.98557692307692313</v>
      </c>
      <c r="O410" t="str">
        <f>IF(Table1[[#This Row],[RegisteredVoters]]=Table1[[#This Row],[TotalVotesCast]],"Match","")</f>
        <v/>
      </c>
    </row>
    <row r="411" spans="1:15" ht="13.2">
      <c r="A411" s="1" t="s">
        <v>490</v>
      </c>
      <c r="B411" t="s">
        <v>21</v>
      </c>
      <c r="C411" t="s">
        <v>23</v>
      </c>
      <c r="D411" t="s">
        <v>408</v>
      </c>
      <c r="E411">
        <v>1100</v>
      </c>
      <c r="F411">
        <v>545</v>
      </c>
      <c r="G411">
        <v>520</v>
      </c>
      <c r="H411">
        <v>20</v>
      </c>
      <c r="I411">
        <v>1085</v>
      </c>
      <c r="J411" s="8">
        <f>Table1[[#This Row],[PartyAVotes]]/Table1[[#This Row],[RegisteredVoters]]</f>
        <v>0.49545454545454548</v>
      </c>
      <c r="K411" s="8">
        <f>Table1[[#This Row],[PartyBVotes]]/Table1[[#This Row],[RegisteredVoters]]</f>
        <v>0.47272727272727272</v>
      </c>
      <c r="L411" s="8">
        <f>Table1[[#This Row],[PartyCVotes]]/Table1[[#This Row],[RegisteredVoters]]</f>
        <v>1.8181818181818181E-2</v>
      </c>
      <c r="M411">
        <f>ABS(Table1[[#This Row],[PartyAVotes]]-Table1[[#This Row],[PartyBVotes]])</f>
        <v>25</v>
      </c>
      <c r="N411" s="11">
        <f>Table1[[#This Row],[TotalVotesCast]]/Table1[[#This Row],[RegisteredVoters]]</f>
        <v>0.98636363636363633</v>
      </c>
      <c r="O411" t="str">
        <f>IF(Table1[[#This Row],[RegisteredVoters]]=Table1[[#This Row],[TotalVotesCast]],"Match","")</f>
        <v/>
      </c>
    </row>
    <row r="412" spans="1:15" ht="13.2">
      <c r="A412" s="1" t="s">
        <v>491</v>
      </c>
      <c r="B412" t="s">
        <v>10</v>
      </c>
      <c r="C412" t="s">
        <v>11</v>
      </c>
      <c r="D412" t="s">
        <v>462</v>
      </c>
      <c r="E412">
        <v>640</v>
      </c>
      <c r="F412">
        <v>310</v>
      </c>
      <c r="G412">
        <v>290</v>
      </c>
      <c r="H412">
        <v>10</v>
      </c>
      <c r="I412">
        <v>610</v>
      </c>
      <c r="J412" s="8">
        <f>Table1[[#This Row],[PartyAVotes]]/Table1[[#This Row],[RegisteredVoters]]</f>
        <v>0.484375</v>
      </c>
      <c r="K412" s="8">
        <f>Table1[[#This Row],[PartyBVotes]]/Table1[[#This Row],[RegisteredVoters]]</f>
        <v>0.453125</v>
      </c>
      <c r="L412" s="8">
        <f>Table1[[#This Row],[PartyCVotes]]/Table1[[#This Row],[RegisteredVoters]]</f>
        <v>1.5625E-2</v>
      </c>
      <c r="M412">
        <f>ABS(Table1[[#This Row],[PartyAVotes]]-Table1[[#This Row],[PartyBVotes]])</f>
        <v>20</v>
      </c>
      <c r="N412" s="11">
        <f>Table1[[#This Row],[TotalVotesCast]]/Table1[[#This Row],[RegisteredVoters]]</f>
        <v>0.953125</v>
      </c>
      <c r="O412" t="str">
        <f>IF(Table1[[#This Row],[RegisteredVoters]]=Table1[[#This Row],[TotalVotesCast]],"Match","")</f>
        <v/>
      </c>
    </row>
    <row r="413" spans="1:15" ht="13.2">
      <c r="A413" s="1" t="s">
        <v>492</v>
      </c>
      <c r="B413" t="s">
        <v>15</v>
      </c>
      <c r="C413" t="s">
        <v>16</v>
      </c>
      <c r="D413" t="s">
        <v>462</v>
      </c>
      <c r="E413">
        <v>940</v>
      </c>
      <c r="F413">
        <v>460</v>
      </c>
      <c r="G413">
        <v>440</v>
      </c>
      <c r="H413">
        <v>15</v>
      </c>
      <c r="I413">
        <v>915</v>
      </c>
      <c r="J413" s="8">
        <f>Table1[[#This Row],[PartyAVotes]]/Table1[[#This Row],[RegisteredVoters]]</f>
        <v>0.48936170212765956</v>
      </c>
      <c r="K413" s="8">
        <f>Table1[[#This Row],[PartyBVotes]]/Table1[[#This Row],[RegisteredVoters]]</f>
        <v>0.46808510638297873</v>
      </c>
      <c r="L413" s="8">
        <f>Table1[[#This Row],[PartyCVotes]]/Table1[[#This Row],[RegisteredVoters]]</f>
        <v>1.5957446808510637E-2</v>
      </c>
      <c r="M413">
        <f>ABS(Table1[[#This Row],[PartyAVotes]]-Table1[[#This Row],[PartyBVotes]])</f>
        <v>20</v>
      </c>
      <c r="N413" s="11">
        <f>Table1[[#This Row],[TotalVotesCast]]/Table1[[#This Row],[RegisteredVoters]]</f>
        <v>0.97340425531914898</v>
      </c>
      <c r="O413" t="str">
        <f>IF(Table1[[#This Row],[RegisteredVoters]]=Table1[[#This Row],[TotalVotesCast]],"Match","")</f>
        <v/>
      </c>
    </row>
    <row r="414" spans="1:15" ht="13.2">
      <c r="A414" s="1" t="s">
        <v>493</v>
      </c>
      <c r="B414" t="s">
        <v>18</v>
      </c>
      <c r="C414" t="s">
        <v>20</v>
      </c>
      <c r="D414" t="s">
        <v>494</v>
      </c>
      <c r="E414">
        <v>1030</v>
      </c>
      <c r="F414">
        <v>510</v>
      </c>
      <c r="G414">
        <v>490</v>
      </c>
      <c r="H414">
        <v>15</v>
      </c>
      <c r="I414">
        <v>1015</v>
      </c>
      <c r="J414" s="8">
        <f>Table1[[#This Row],[PartyAVotes]]/Table1[[#This Row],[RegisteredVoters]]</f>
        <v>0.49514563106796117</v>
      </c>
      <c r="K414" s="8">
        <f>Table1[[#This Row],[PartyBVotes]]/Table1[[#This Row],[RegisteredVoters]]</f>
        <v>0.47572815533980584</v>
      </c>
      <c r="L414" s="8">
        <f>Table1[[#This Row],[PartyCVotes]]/Table1[[#This Row],[RegisteredVoters]]</f>
        <v>1.4563106796116505E-2</v>
      </c>
      <c r="M414">
        <f>ABS(Table1[[#This Row],[PartyAVotes]]-Table1[[#This Row],[PartyBVotes]])</f>
        <v>20</v>
      </c>
      <c r="N414" s="11">
        <f>Table1[[#This Row],[TotalVotesCast]]/Table1[[#This Row],[RegisteredVoters]]</f>
        <v>0.9854368932038835</v>
      </c>
      <c r="O414" t="str">
        <f>IF(Table1[[#This Row],[RegisteredVoters]]=Table1[[#This Row],[TotalVotesCast]],"Match","")</f>
        <v/>
      </c>
    </row>
    <row r="415" spans="1:15" ht="13.2">
      <c r="A415" s="1" t="s">
        <v>495</v>
      </c>
      <c r="B415" t="s">
        <v>21</v>
      </c>
      <c r="C415" t="s">
        <v>22</v>
      </c>
      <c r="D415" t="s">
        <v>453</v>
      </c>
      <c r="E415">
        <v>1290</v>
      </c>
      <c r="F415">
        <v>630</v>
      </c>
      <c r="G415">
        <v>600</v>
      </c>
      <c r="H415">
        <v>25</v>
      </c>
      <c r="I415">
        <v>1255</v>
      </c>
      <c r="J415" s="8">
        <f>Table1[[#This Row],[PartyAVotes]]/Table1[[#This Row],[RegisteredVoters]]</f>
        <v>0.48837209302325579</v>
      </c>
      <c r="K415" s="8">
        <f>Table1[[#This Row],[PartyBVotes]]/Table1[[#This Row],[RegisteredVoters]]</f>
        <v>0.46511627906976744</v>
      </c>
      <c r="L415" s="8">
        <f>Table1[[#This Row],[PartyCVotes]]/Table1[[#This Row],[RegisteredVoters]]</f>
        <v>1.937984496124031E-2</v>
      </c>
      <c r="M415">
        <f>ABS(Table1[[#This Row],[PartyAVotes]]-Table1[[#This Row],[PartyBVotes]])</f>
        <v>30</v>
      </c>
      <c r="N415" s="11">
        <f>Table1[[#This Row],[TotalVotesCast]]/Table1[[#This Row],[RegisteredVoters]]</f>
        <v>0.97286821705426352</v>
      </c>
      <c r="O415" t="str">
        <f>IF(Table1[[#This Row],[RegisteredVoters]]=Table1[[#This Row],[TotalVotesCast]],"Match","")</f>
        <v/>
      </c>
    </row>
    <row r="416" spans="1:15" ht="13.2">
      <c r="A416" s="1" t="s">
        <v>496</v>
      </c>
      <c r="B416" t="s">
        <v>10</v>
      </c>
      <c r="C416" t="s">
        <v>14</v>
      </c>
      <c r="D416" t="s">
        <v>426</v>
      </c>
      <c r="E416">
        <v>730</v>
      </c>
      <c r="F416">
        <v>355</v>
      </c>
      <c r="G416">
        <v>335</v>
      </c>
      <c r="H416">
        <v>15</v>
      </c>
      <c r="I416">
        <v>705</v>
      </c>
      <c r="J416" s="8">
        <f>Table1[[#This Row],[PartyAVotes]]/Table1[[#This Row],[RegisteredVoters]]</f>
        <v>0.4863013698630137</v>
      </c>
      <c r="K416" s="8">
        <f>Table1[[#This Row],[PartyBVotes]]/Table1[[#This Row],[RegisteredVoters]]</f>
        <v>0.4589041095890411</v>
      </c>
      <c r="L416" s="8">
        <f>Table1[[#This Row],[PartyCVotes]]/Table1[[#This Row],[RegisteredVoters]]</f>
        <v>2.0547945205479451E-2</v>
      </c>
      <c r="M416">
        <f>ABS(Table1[[#This Row],[PartyAVotes]]-Table1[[#This Row],[PartyBVotes]])</f>
        <v>20</v>
      </c>
      <c r="N416" s="11">
        <f>Table1[[#This Row],[TotalVotesCast]]/Table1[[#This Row],[RegisteredVoters]]</f>
        <v>0.96575342465753422</v>
      </c>
      <c r="O416" t="str">
        <f>IF(Table1[[#This Row],[RegisteredVoters]]=Table1[[#This Row],[TotalVotesCast]],"Match","")</f>
        <v/>
      </c>
    </row>
    <row r="417" spans="1:15" ht="13.2">
      <c r="A417" s="1" t="s">
        <v>497</v>
      </c>
      <c r="B417" t="s">
        <v>15</v>
      </c>
      <c r="C417" t="s">
        <v>17</v>
      </c>
      <c r="D417" t="s">
        <v>408</v>
      </c>
      <c r="E417">
        <v>780</v>
      </c>
      <c r="F417">
        <v>385</v>
      </c>
      <c r="G417">
        <v>365</v>
      </c>
      <c r="H417">
        <v>15</v>
      </c>
      <c r="I417">
        <v>765</v>
      </c>
      <c r="J417" s="8">
        <f>Table1[[#This Row],[PartyAVotes]]/Table1[[#This Row],[RegisteredVoters]]</f>
        <v>0.49358974358974361</v>
      </c>
      <c r="K417" s="8">
        <f>Table1[[#This Row],[PartyBVotes]]/Table1[[#This Row],[RegisteredVoters]]</f>
        <v>0.46794871794871795</v>
      </c>
      <c r="L417" s="8">
        <f>Table1[[#This Row],[PartyCVotes]]/Table1[[#This Row],[RegisteredVoters]]</f>
        <v>1.9230769230769232E-2</v>
      </c>
      <c r="M417">
        <f>ABS(Table1[[#This Row],[PartyAVotes]]-Table1[[#This Row],[PartyBVotes]])</f>
        <v>20</v>
      </c>
      <c r="N417" s="11">
        <f>Table1[[#This Row],[TotalVotesCast]]/Table1[[#This Row],[RegisteredVoters]]</f>
        <v>0.98076923076923073</v>
      </c>
      <c r="O417" t="str">
        <f>IF(Table1[[#This Row],[RegisteredVoters]]=Table1[[#This Row],[TotalVotesCast]],"Match","")</f>
        <v/>
      </c>
    </row>
    <row r="418" spans="1:15" ht="13.2">
      <c r="A418" s="1" t="s">
        <v>498</v>
      </c>
      <c r="B418" t="s">
        <v>18</v>
      </c>
      <c r="C418" t="s">
        <v>19</v>
      </c>
      <c r="D418" t="s">
        <v>435</v>
      </c>
      <c r="E418">
        <v>1050</v>
      </c>
      <c r="F418">
        <v>520</v>
      </c>
      <c r="G418">
        <v>495</v>
      </c>
      <c r="H418">
        <v>20</v>
      </c>
      <c r="I418">
        <v>1035</v>
      </c>
      <c r="J418" s="8">
        <f>Table1[[#This Row],[PartyAVotes]]/Table1[[#This Row],[RegisteredVoters]]</f>
        <v>0.49523809523809526</v>
      </c>
      <c r="K418" s="8">
        <f>Table1[[#This Row],[PartyBVotes]]/Table1[[#This Row],[RegisteredVoters]]</f>
        <v>0.47142857142857142</v>
      </c>
      <c r="L418" s="8">
        <f>Table1[[#This Row],[PartyCVotes]]/Table1[[#This Row],[RegisteredVoters]]</f>
        <v>1.9047619047619049E-2</v>
      </c>
      <c r="M418">
        <f>ABS(Table1[[#This Row],[PartyAVotes]]-Table1[[#This Row],[PartyBVotes]])</f>
        <v>25</v>
      </c>
      <c r="N418" s="11">
        <f>Table1[[#This Row],[TotalVotesCast]]/Table1[[#This Row],[RegisteredVoters]]</f>
        <v>0.98571428571428577</v>
      </c>
      <c r="O418" t="str">
        <f>IF(Table1[[#This Row],[RegisteredVoters]]=Table1[[#This Row],[TotalVotesCast]],"Match","")</f>
        <v/>
      </c>
    </row>
    <row r="419" spans="1:15" ht="13.2">
      <c r="A419" s="1" t="s">
        <v>499</v>
      </c>
      <c r="B419" t="s">
        <v>21</v>
      </c>
      <c r="C419" t="s">
        <v>23</v>
      </c>
      <c r="D419" t="s">
        <v>417</v>
      </c>
      <c r="E419">
        <v>1110</v>
      </c>
      <c r="F419">
        <v>550</v>
      </c>
      <c r="G419">
        <v>525</v>
      </c>
      <c r="H419">
        <v>20</v>
      </c>
      <c r="I419">
        <v>1095</v>
      </c>
      <c r="J419" s="8">
        <f>Table1[[#This Row],[PartyAVotes]]/Table1[[#This Row],[RegisteredVoters]]</f>
        <v>0.49549549549549549</v>
      </c>
      <c r="K419" s="8">
        <f>Table1[[#This Row],[PartyBVotes]]/Table1[[#This Row],[RegisteredVoters]]</f>
        <v>0.47297297297297297</v>
      </c>
      <c r="L419" s="8">
        <f>Table1[[#This Row],[PartyCVotes]]/Table1[[#This Row],[RegisteredVoters]]</f>
        <v>1.8018018018018018E-2</v>
      </c>
      <c r="M419">
        <f>ABS(Table1[[#This Row],[PartyAVotes]]-Table1[[#This Row],[PartyBVotes]])</f>
        <v>25</v>
      </c>
      <c r="N419" s="11">
        <f>Table1[[#This Row],[TotalVotesCast]]/Table1[[#This Row],[RegisteredVoters]]</f>
        <v>0.98648648648648651</v>
      </c>
      <c r="O419" t="str">
        <f>IF(Table1[[#This Row],[RegisteredVoters]]=Table1[[#This Row],[TotalVotesCast]],"Match","")</f>
        <v/>
      </c>
    </row>
    <row r="420" spans="1:15" ht="13.2">
      <c r="A420" s="1" t="s">
        <v>500</v>
      </c>
      <c r="B420" t="s">
        <v>10</v>
      </c>
      <c r="C420" t="s">
        <v>11</v>
      </c>
      <c r="D420" t="s">
        <v>471</v>
      </c>
      <c r="E420">
        <v>650</v>
      </c>
      <c r="F420">
        <v>315</v>
      </c>
      <c r="G420">
        <v>295</v>
      </c>
      <c r="H420">
        <v>10</v>
      </c>
      <c r="I420">
        <v>620</v>
      </c>
      <c r="J420" s="8">
        <f>Table1[[#This Row],[PartyAVotes]]/Table1[[#This Row],[RegisteredVoters]]</f>
        <v>0.48461538461538461</v>
      </c>
      <c r="K420" s="8">
        <f>Table1[[#This Row],[PartyBVotes]]/Table1[[#This Row],[RegisteredVoters]]</f>
        <v>0.45384615384615384</v>
      </c>
      <c r="L420" s="8">
        <f>Table1[[#This Row],[PartyCVotes]]/Table1[[#This Row],[RegisteredVoters]]</f>
        <v>1.5384615384615385E-2</v>
      </c>
      <c r="M420">
        <f>ABS(Table1[[#This Row],[PartyAVotes]]-Table1[[#This Row],[PartyBVotes]])</f>
        <v>20</v>
      </c>
      <c r="N420" s="11">
        <f>Table1[[#This Row],[TotalVotesCast]]/Table1[[#This Row],[RegisteredVoters]]</f>
        <v>0.9538461538461539</v>
      </c>
      <c r="O420" t="str">
        <f>IF(Table1[[#This Row],[RegisteredVoters]]=Table1[[#This Row],[TotalVotesCast]],"Match","")</f>
        <v/>
      </c>
    </row>
    <row r="421" spans="1:15" ht="13.2">
      <c r="A421" s="1" t="s">
        <v>501</v>
      </c>
      <c r="B421" t="s">
        <v>15</v>
      </c>
      <c r="C421" t="s">
        <v>16</v>
      </c>
      <c r="D421" t="s">
        <v>471</v>
      </c>
      <c r="E421">
        <v>950</v>
      </c>
      <c r="F421">
        <v>465</v>
      </c>
      <c r="G421">
        <v>445</v>
      </c>
      <c r="H421">
        <v>15</v>
      </c>
      <c r="I421">
        <v>925</v>
      </c>
      <c r="J421" s="8">
        <f>Table1[[#This Row],[PartyAVotes]]/Table1[[#This Row],[RegisteredVoters]]</f>
        <v>0.48947368421052634</v>
      </c>
      <c r="K421" s="8">
        <f>Table1[[#This Row],[PartyBVotes]]/Table1[[#This Row],[RegisteredVoters]]</f>
        <v>0.46842105263157896</v>
      </c>
      <c r="L421" s="8">
        <f>Table1[[#This Row],[PartyCVotes]]/Table1[[#This Row],[RegisteredVoters]]</f>
        <v>1.5789473684210527E-2</v>
      </c>
      <c r="M421">
        <f>ABS(Table1[[#This Row],[PartyAVotes]]-Table1[[#This Row],[PartyBVotes]])</f>
        <v>20</v>
      </c>
      <c r="N421" s="11">
        <f>Table1[[#This Row],[TotalVotesCast]]/Table1[[#This Row],[RegisteredVoters]]</f>
        <v>0.97368421052631582</v>
      </c>
      <c r="O421" t="str">
        <f>IF(Table1[[#This Row],[RegisteredVoters]]=Table1[[#This Row],[TotalVotesCast]],"Match","")</f>
        <v/>
      </c>
    </row>
    <row r="422" spans="1:15" ht="13.2">
      <c r="A422" s="1" t="s">
        <v>502</v>
      </c>
      <c r="B422" t="s">
        <v>18</v>
      </c>
      <c r="C422" t="s">
        <v>20</v>
      </c>
      <c r="D422" t="s">
        <v>503</v>
      </c>
      <c r="E422">
        <v>1040</v>
      </c>
      <c r="F422">
        <v>515</v>
      </c>
      <c r="G422">
        <v>495</v>
      </c>
      <c r="H422">
        <v>15</v>
      </c>
      <c r="I422">
        <v>1025</v>
      </c>
      <c r="J422" s="8">
        <f>Table1[[#This Row],[PartyAVotes]]/Table1[[#This Row],[RegisteredVoters]]</f>
        <v>0.49519230769230771</v>
      </c>
      <c r="K422" s="8">
        <f>Table1[[#This Row],[PartyBVotes]]/Table1[[#This Row],[RegisteredVoters]]</f>
        <v>0.47596153846153844</v>
      </c>
      <c r="L422" s="8">
        <f>Table1[[#This Row],[PartyCVotes]]/Table1[[#This Row],[RegisteredVoters]]</f>
        <v>1.4423076923076924E-2</v>
      </c>
      <c r="M422">
        <f>ABS(Table1[[#This Row],[PartyAVotes]]-Table1[[#This Row],[PartyBVotes]])</f>
        <v>20</v>
      </c>
      <c r="N422" s="11">
        <f>Table1[[#This Row],[TotalVotesCast]]/Table1[[#This Row],[RegisteredVoters]]</f>
        <v>0.98557692307692313</v>
      </c>
      <c r="O422" t="str">
        <f>IF(Table1[[#This Row],[RegisteredVoters]]=Table1[[#This Row],[TotalVotesCast]],"Match","")</f>
        <v/>
      </c>
    </row>
    <row r="423" spans="1:15" ht="13.2">
      <c r="A423" s="1" t="s">
        <v>504</v>
      </c>
      <c r="B423" t="s">
        <v>21</v>
      </c>
      <c r="C423" t="s">
        <v>22</v>
      </c>
      <c r="D423" t="s">
        <v>462</v>
      </c>
      <c r="E423">
        <v>1300</v>
      </c>
      <c r="F423">
        <v>635</v>
      </c>
      <c r="G423">
        <v>605</v>
      </c>
      <c r="H423">
        <v>25</v>
      </c>
      <c r="I423">
        <v>1265</v>
      </c>
      <c r="J423" s="8">
        <f>Table1[[#This Row],[PartyAVotes]]/Table1[[#This Row],[RegisteredVoters]]</f>
        <v>0.48846153846153845</v>
      </c>
      <c r="K423" s="8">
        <f>Table1[[#This Row],[PartyBVotes]]/Table1[[#This Row],[RegisteredVoters]]</f>
        <v>0.4653846153846154</v>
      </c>
      <c r="L423" s="8">
        <f>Table1[[#This Row],[PartyCVotes]]/Table1[[#This Row],[RegisteredVoters]]</f>
        <v>1.9230769230769232E-2</v>
      </c>
      <c r="M423">
        <f>ABS(Table1[[#This Row],[PartyAVotes]]-Table1[[#This Row],[PartyBVotes]])</f>
        <v>30</v>
      </c>
      <c r="N423" s="11">
        <f>Table1[[#This Row],[TotalVotesCast]]/Table1[[#This Row],[RegisteredVoters]]</f>
        <v>0.97307692307692306</v>
      </c>
      <c r="O423" t="str">
        <f>IF(Table1[[#This Row],[RegisteredVoters]]=Table1[[#This Row],[TotalVotesCast]],"Match","")</f>
        <v/>
      </c>
    </row>
    <row r="424" spans="1:15" ht="13.2">
      <c r="A424" s="1" t="s">
        <v>505</v>
      </c>
      <c r="B424" t="s">
        <v>10</v>
      </c>
      <c r="C424" t="s">
        <v>14</v>
      </c>
      <c r="D424" t="s">
        <v>435</v>
      </c>
      <c r="E424">
        <v>740</v>
      </c>
      <c r="F424">
        <v>360</v>
      </c>
      <c r="G424">
        <v>340</v>
      </c>
      <c r="H424">
        <v>15</v>
      </c>
      <c r="I424">
        <v>715</v>
      </c>
      <c r="J424" s="8">
        <f>Table1[[#This Row],[PartyAVotes]]/Table1[[#This Row],[RegisteredVoters]]</f>
        <v>0.48648648648648651</v>
      </c>
      <c r="K424" s="8">
        <f>Table1[[#This Row],[PartyBVotes]]/Table1[[#This Row],[RegisteredVoters]]</f>
        <v>0.45945945945945948</v>
      </c>
      <c r="L424" s="8">
        <f>Table1[[#This Row],[PartyCVotes]]/Table1[[#This Row],[RegisteredVoters]]</f>
        <v>2.0270270270270271E-2</v>
      </c>
      <c r="M424">
        <f>ABS(Table1[[#This Row],[PartyAVotes]]-Table1[[#This Row],[PartyBVotes]])</f>
        <v>20</v>
      </c>
      <c r="N424" s="11">
        <f>Table1[[#This Row],[TotalVotesCast]]/Table1[[#This Row],[RegisteredVoters]]</f>
        <v>0.96621621621621623</v>
      </c>
      <c r="O424" t="str">
        <f>IF(Table1[[#This Row],[RegisteredVoters]]=Table1[[#This Row],[TotalVotesCast]],"Match","")</f>
        <v/>
      </c>
    </row>
    <row r="425" spans="1:15" ht="13.2">
      <c r="A425" s="1" t="s">
        <v>506</v>
      </c>
      <c r="B425" t="s">
        <v>15</v>
      </c>
      <c r="C425" t="s">
        <v>17</v>
      </c>
      <c r="D425" t="s">
        <v>417</v>
      </c>
      <c r="E425">
        <v>790</v>
      </c>
      <c r="F425">
        <v>390</v>
      </c>
      <c r="G425">
        <v>370</v>
      </c>
      <c r="H425">
        <v>15</v>
      </c>
      <c r="I425">
        <v>775</v>
      </c>
      <c r="J425" s="8">
        <f>Table1[[#This Row],[PartyAVotes]]/Table1[[#This Row],[RegisteredVoters]]</f>
        <v>0.49367088607594939</v>
      </c>
      <c r="K425" s="8">
        <f>Table1[[#This Row],[PartyBVotes]]/Table1[[#This Row],[RegisteredVoters]]</f>
        <v>0.46835443037974683</v>
      </c>
      <c r="L425" s="8">
        <f>Table1[[#This Row],[PartyCVotes]]/Table1[[#This Row],[RegisteredVoters]]</f>
        <v>1.8987341772151899E-2</v>
      </c>
      <c r="M425">
        <f>ABS(Table1[[#This Row],[PartyAVotes]]-Table1[[#This Row],[PartyBVotes]])</f>
        <v>20</v>
      </c>
      <c r="N425" s="11">
        <f>Table1[[#This Row],[TotalVotesCast]]/Table1[[#This Row],[RegisteredVoters]]</f>
        <v>0.98101265822784811</v>
      </c>
      <c r="O425" t="str">
        <f>IF(Table1[[#This Row],[RegisteredVoters]]=Table1[[#This Row],[TotalVotesCast]],"Match","")</f>
        <v/>
      </c>
    </row>
    <row r="426" spans="1:15" ht="13.2">
      <c r="A426" s="1" t="s">
        <v>507</v>
      </c>
      <c r="B426" t="s">
        <v>18</v>
      </c>
      <c r="C426" t="s">
        <v>19</v>
      </c>
      <c r="D426" t="s">
        <v>444</v>
      </c>
      <c r="E426">
        <v>1060</v>
      </c>
      <c r="F426">
        <v>525</v>
      </c>
      <c r="G426">
        <v>500</v>
      </c>
      <c r="H426">
        <v>20</v>
      </c>
      <c r="I426">
        <v>1045</v>
      </c>
      <c r="J426" s="8">
        <f>Table1[[#This Row],[PartyAVotes]]/Table1[[#This Row],[RegisteredVoters]]</f>
        <v>0.49528301886792453</v>
      </c>
      <c r="K426" s="8">
        <f>Table1[[#This Row],[PartyBVotes]]/Table1[[#This Row],[RegisteredVoters]]</f>
        <v>0.47169811320754718</v>
      </c>
      <c r="L426" s="8">
        <f>Table1[[#This Row],[PartyCVotes]]/Table1[[#This Row],[RegisteredVoters]]</f>
        <v>1.8867924528301886E-2</v>
      </c>
      <c r="M426">
        <f>ABS(Table1[[#This Row],[PartyAVotes]]-Table1[[#This Row],[PartyBVotes]])</f>
        <v>25</v>
      </c>
      <c r="N426" s="11">
        <f>Table1[[#This Row],[TotalVotesCast]]/Table1[[#This Row],[RegisteredVoters]]</f>
        <v>0.98584905660377353</v>
      </c>
      <c r="O426" t="str">
        <f>IF(Table1[[#This Row],[RegisteredVoters]]=Table1[[#This Row],[TotalVotesCast]],"Match","")</f>
        <v/>
      </c>
    </row>
    <row r="427" spans="1:15" ht="13.2">
      <c r="A427" s="1" t="s">
        <v>508</v>
      </c>
      <c r="B427" t="s">
        <v>21</v>
      </c>
      <c r="C427" t="s">
        <v>23</v>
      </c>
      <c r="D427" t="s">
        <v>426</v>
      </c>
      <c r="E427">
        <v>1120</v>
      </c>
      <c r="F427">
        <v>555</v>
      </c>
      <c r="G427">
        <v>530</v>
      </c>
      <c r="H427">
        <v>20</v>
      </c>
      <c r="I427">
        <v>1105</v>
      </c>
      <c r="J427" s="8">
        <f>Table1[[#This Row],[PartyAVotes]]/Table1[[#This Row],[RegisteredVoters]]</f>
        <v>0.4955357142857143</v>
      </c>
      <c r="K427" s="8">
        <f>Table1[[#This Row],[PartyBVotes]]/Table1[[#This Row],[RegisteredVoters]]</f>
        <v>0.4732142857142857</v>
      </c>
      <c r="L427" s="8">
        <f>Table1[[#This Row],[PartyCVotes]]/Table1[[#This Row],[RegisteredVoters]]</f>
        <v>1.7857142857142856E-2</v>
      </c>
      <c r="M427">
        <f>ABS(Table1[[#This Row],[PartyAVotes]]-Table1[[#This Row],[PartyBVotes]])</f>
        <v>25</v>
      </c>
      <c r="N427" s="11">
        <f>Table1[[#This Row],[TotalVotesCast]]/Table1[[#This Row],[RegisteredVoters]]</f>
        <v>0.9866071428571429</v>
      </c>
      <c r="O427" t="str">
        <f>IF(Table1[[#This Row],[RegisteredVoters]]=Table1[[#This Row],[TotalVotesCast]],"Match","")</f>
        <v/>
      </c>
    </row>
    <row r="428" spans="1:15" ht="13.2">
      <c r="A428" s="1" t="s">
        <v>509</v>
      </c>
      <c r="B428" t="s">
        <v>10</v>
      </c>
      <c r="C428" t="s">
        <v>11</v>
      </c>
      <c r="D428" t="s">
        <v>480</v>
      </c>
      <c r="E428">
        <v>660</v>
      </c>
      <c r="F428">
        <v>320</v>
      </c>
      <c r="G428">
        <v>300</v>
      </c>
      <c r="H428">
        <v>10</v>
      </c>
      <c r="I428">
        <v>630</v>
      </c>
      <c r="J428" s="8">
        <f>Table1[[#This Row],[PartyAVotes]]/Table1[[#This Row],[RegisteredVoters]]</f>
        <v>0.48484848484848486</v>
      </c>
      <c r="K428" s="8">
        <f>Table1[[#This Row],[PartyBVotes]]/Table1[[#This Row],[RegisteredVoters]]</f>
        <v>0.45454545454545453</v>
      </c>
      <c r="L428" s="8">
        <f>Table1[[#This Row],[PartyCVotes]]/Table1[[#This Row],[RegisteredVoters]]</f>
        <v>1.5151515151515152E-2</v>
      </c>
      <c r="M428">
        <f>ABS(Table1[[#This Row],[PartyAVotes]]-Table1[[#This Row],[PartyBVotes]])</f>
        <v>20</v>
      </c>
      <c r="N428" s="11">
        <f>Table1[[#This Row],[TotalVotesCast]]/Table1[[#This Row],[RegisteredVoters]]</f>
        <v>0.95454545454545459</v>
      </c>
      <c r="O428" t="str">
        <f>IF(Table1[[#This Row],[RegisteredVoters]]=Table1[[#This Row],[TotalVotesCast]],"Match","")</f>
        <v/>
      </c>
    </row>
    <row r="429" spans="1:15" ht="13.2">
      <c r="A429" s="1" t="s">
        <v>510</v>
      </c>
      <c r="B429" t="s">
        <v>15</v>
      </c>
      <c r="C429" t="s">
        <v>16</v>
      </c>
      <c r="D429" t="s">
        <v>480</v>
      </c>
      <c r="E429">
        <v>960</v>
      </c>
      <c r="F429">
        <v>470</v>
      </c>
      <c r="G429">
        <v>450</v>
      </c>
      <c r="H429">
        <v>15</v>
      </c>
      <c r="I429">
        <v>935</v>
      </c>
      <c r="J429" s="8">
        <f>Table1[[#This Row],[PartyAVotes]]/Table1[[#This Row],[RegisteredVoters]]</f>
        <v>0.48958333333333331</v>
      </c>
      <c r="K429" s="8">
        <f>Table1[[#This Row],[PartyBVotes]]/Table1[[#This Row],[RegisteredVoters]]</f>
        <v>0.46875</v>
      </c>
      <c r="L429" s="8">
        <f>Table1[[#This Row],[PartyCVotes]]/Table1[[#This Row],[RegisteredVoters]]</f>
        <v>1.5625E-2</v>
      </c>
      <c r="M429">
        <f>ABS(Table1[[#This Row],[PartyAVotes]]-Table1[[#This Row],[PartyBVotes]])</f>
        <v>20</v>
      </c>
      <c r="N429" s="11">
        <f>Table1[[#This Row],[TotalVotesCast]]/Table1[[#This Row],[RegisteredVoters]]</f>
        <v>0.97395833333333337</v>
      </c>
      <c r="O429" t="str">
        <f>IF(Table1[[#This Row],[RegisteredVoters]]=Table1[[#This Row],[TotalVotesCast]],"Match","")</f>
        <v/>
      </c>
    </row>
    <row r="430" spans="1:15" ht="13.2">
      <c r="A430" s="1" t="s">
        <v>511</v>
      </c>
      <c r="B430" t="s">
        <v>18</v>
      </c>
      <c r="C430" t="s">
        <v>20</v>
      </c>
      <c r="D430" t="s">
        <v>512</v>
      </c>
      <c r="E430">
        <v>1050</v>
      </c>
      <c r="F430">
        <v>520</v>
      </c>
      <c r="G430">
        <v>500</v>
      </c>
      <c r="H430">
        <v>15</v>
      </c>
      <c r="I430">
        <v>1035</v>
      </c>
      <c r="J430" s="8">
        <f>Table1[[#This Row],[PartyAVotes]]/Table1[[#This Row],[RegisteredVoters]]</f>
        <v>0.49523809523809526</v>
      </c>
      <c r="K430" s="8">
        <f>Table1[[#This Row],[PartyBVotes]]/Table1[[#This Row],[RegisteredVoters]]</f>
        <v>0.47619047619047616</v>
      </c>
      <c r="L430" s="8">
        <f>Table1[[#This Row],[PartyCVotes]]/Table1[[#This Row],[RegisteredVoters]]</f>
        <v>1.4285714285714285E-2</v>
      </c>
      <c r="M430">
        <f>ABS(Table1[[#This Row],[PartyAVotes]]-Table1[[#This Row],[PartyBVotes]])</f>
        <v>20</v>
      </c>
      <c r="N430" s="11">
        <f>Table1[[#This Row],[TotalVotesCast]]/Table1[[#This Row],[RegisteredVoters]]</f>
        <v>0.98571428571428577</v>
      </c>
      <c r="O430" t="str">
        <f>IF(Table1[[#This Row],[RegisteredVoters]]=Table1[[#This Row],[TotalVotesCast]],"Match","")</f>
        <v/>
      </c>
    </row>
    <row r="431" spans="1:15" ht="13.2">
      <c r="A431" s="1" t="s">
        <v>513</v>
      </c>
      <c r="B431" t="s">
        <v>21</v>
      </c>
      <c r="C431" t="s">
        <v>22</v>
      </c>
      <c r="D431" t="s">
        <v>471</v>
      </c>
      <c r="E431">
        <v>1310</v>
      </c>
      <c r="F431">
        <v>640</v>
      </c>
      <c r="G431">
        <v>610</v>
      </c>
      <c r="H431">
        <v>25</v>
      </c>
      <c r="I431">
        <v>1275</v>
      </c>
      <c r="J431" s="8">
        <f>Table1[[#This Row],[PartyAVotes]]/Table1[[#This Row],[RegisteredVoters]]</f>
        <v>0.48854961832061067</v>
      </c>
      <c r="K431" s="8">
        <f>Table1[[#This Row],[PartyBVotes]]/Table1[[#This Row],[RegisteredVoters]]</f>
        <v>0.46564885496183206</v>
      </c>
      <c r="L431" s="8">
        <f>Table1[[#This Row],[PartyCVotes]]/Table1[[#This Row],[RegisteredVoters]]</f>
        <v>1.9083969465648856E-2</v>
      </c>
      <c r="M431">
        <f>ABS(Table1[[#This Row],[PartyAVotes]]-Table1[[#This Row],[PartyBVotes]])</f>
        <v>30</v>
      </c>
      <c r="N431" s="11">
        <f>Table1[[#This Row],[TotalVotesCast]]/Table1[[#This Row],[RegisteredVoters]]</f>
        <v>0.97328244274809161</v>
      </c>
      <c r="O431" t="str">
        <f>IF(Table1[[#This Row],[RegisteredVoters]]=Table1[[#This Row],[TotalVotesCast]],"Match","")</f>
        <v/>
      </c>
    </row>
    <row r="432" spans="1:15" ht="13.2">
      <c r="A432" s="1" t="s">
        <v>514</v>
      </c>
      <c r="B432" t="s">
        <v>10</v>
      </c>
      <c r="C432" t="s">
        <v>14</v>
      </c>
      <c r="D432" t="s">
        <v>444</v>
      </c>
      <c r="E432">
        <v>750</v>
      </c>
      <c r="F432">
        <v>365</v>
      </c>
      <c r="G432">
        <v>345</v>
      </c>
      <c r="H432">
        <v>15</v>
      </c>
      <c r="I432">
        <v>725</v>
      </c>
      <c r="J432" s="8">
        <f>Table1[[#This Row],[PartyAVotes]]/Table1[[#This Row],[RegisteredVoters]]</f>
        <v>0.48666666666666669</v>
      </c>
      <c r="K432" s="8">
        <f>Table1[[#This Row],[PartyBVotes]]/Table1[[#This Row],[RegisteredVoters]]</f>
        <v>0.46</v>
      </c>
      <c r="L432" s="8">
        <f>Table1[[#This Row],[PartyCVotes]]/Table1[[#This Row],[RegisteredVoters]]</f>
        <v>0.02</v>
      </c>
      <c r="M432">
        <f>ABS(Table1[[#This Row],[PartyAVotes]]-Table1[[#This Row],[PartyBVotes]])</f>
        <v>20</v>
      </c>
      <c r="N432" s="11">
        <f>Table1[[#This Row],[TotalVotesCast]]/Table1[[#This Row],[RegisteredVoters]]</f>
        <v>0.96666666666666667</v>
      </c>
      <c r="O432" t="str">
        <f>IF(Table1[[#This Row],[RegisteredVoters]]=Table1[[#This Row],[TotalVotesCast]],"Match","")</f>
        <v/>
      </c>
    </row>
    <row r="433" spans="1:15" ht="13.2">
      <c r="A433" s="1" t="s">
        <v>515</v>
      </c>
      <c r="B433" t="s">
        <v>15</v>
      </c>
      <c r="C433" t="s">
        <v>17</v>
      </c>
      <c r="D433" t="s">
        <v>426</v>
      </c>
      <c r="E433">
        <v>800</v>
      </c>
      <c r="F433">
        <v>395</v>
      </c>
      <c r="G433">
        <v>375</v>
      </c>
      <c r="H433">
        <v>15</v>
      </c>
      <c r="I433">
        <v>785</v>
      </c>
      <c r="J433" s="8">
        <f>Table1[[#This Row],[PartyAVotes]]/Table1[[#This Row],[RegisteredVoters]]</f>
        <v>0.49375000000000002</v>
      </c>
      <c r="K433" s="8">
        <f>Table1[[#This Row],[PartyBVotes]]/Table1[[#This Row],[RegisteredVoters]]</f>
        <v>0.46875</v>
      </c>
      <c r="L433" s="8">
        <f>Table1[[#This Row],[PartyCVotes]]/Table1[[#This Row],[RegisteredVoters]]</f>
        <v>1.8749999999999999E-2</v>
      </c>
      <c r="M433">
        <f>ABS(Table1[[#This Row],[PartyAVotes]]-Table1[[#This Row],[PartyBVotes]])</f>
        <v>20</v>
      </c>
      <c r="N433" s="11">
        <f>Table1[[#This Row],[TotalVotesCast]]/Table1[[#This Row],[RegisteredVoters]]</f>
        <v>0.98124999999999996</v>
      </c>
      <c r="O433" t="str">
        <f>IF(Table1[[#This Row],[RegisteredVoters]]=Table1[[#This Row],[TotalVotesCast]],"Match","")</f>
        <v/>
      </c>
    </row>
    <row r="434" spans="1:15" ht="13.2">
      <c r="A434" s="1" t="s">
        <v>516</v>
      </c>
      <c r="B434" t="s">
        <v>18</v>
      </c>
      <c r="C434" t="s">
        <v>19</v>
      </c>
      <c r="D434" t="s">
        <v>453</v>
      </c>
      <c r="E434">
        <v>1070</v>
      </c>
      <c r="F434">
        <v>530</v>
      </c>
      <c r="G434">
        <v>505</v>
      </c>
      <c r="H434">
        <v>20</v>
      </c>
      <c r="I434">
        <v>1055</v>
      </c>
      <c r="J434" s="8">
        <f>Table1[[#This Row],[PartyAVotes]]/Table1[[#This Row],[RegisteredVoters]]</f>
        <v>0.49532710280373832</v>
      </c>
      <c r="K434" s="8">
        <f>Table1[[#This Row],[PartyBVotes]]/Table1[[#This Row],[RegisteredVoters]]</f>
        <v>0.4719626168224299</v>
      </c>
      <c r="L434" s="8">
        <f>Table1[[#This Row],[PartyCVotes]]/Table1[[#This Row],[RegisteredVoters]]</f>
        <v>1.8691588785046728E-2</v>
      </c>
      <c r="M434">
        <f>ABS(Table1[[#This Row],[PartyAVotes]]-Table1[[#This Row],[PartyBVotes]])</f>
        <v>25</v>
      </c>
      <c r="N434" s="11">
        <f>Table1[[#This Row],[TotalVotesCast]]/Table1[[#This Row],[RegisteredVoters]]</f>
        <v>0.98598130841121501</v>
      </c>
      <c r="O434" t="str">
        <f>IF(Table1[[#This Row],[RegisteredVoters]]=Table1[[#This Row],[TotalVotesCast]],"Match","")</f>
        <v/>
      </c>
    </row>
    <row r="435" spans="1:15" ht="13.2">
      <c r="A435" s="1" t="s">
        <v>517</v>
      </c>
      <c r="B435" t="s">
        <v>21</v>
      </c>
      <c r="C435" t="s">
        <v>23</v>
      </c>
      <c r="D435" t="s">
        <v>435</v>
      </c>
      <c r="E435">
        <v>1130</v>
      </c>
      <c r="F435">
        <v>560</v>
      </c>
      <c r="G435">
        <v>535</v>
      </c>
      <c r="H435">
        <v>20</v>
      </c>
      <c r="I435">
        <v>1115</v>
      </c>
      <c r="J435" s="8">
        <f>Table1[[#This Row],[PartyAVotes]]/Table1[[#This Row],[RegisteredVoters]]</f>
        <v>0.49557522123893805</v>
      </c>
      <c r="K435" s="8">
        <f>Table1[[#This Row],[PartyBVotes]]/Table1[[#This Row],[RegisteredVoters]]</f>
        <v>0.47345132743362833</v>
      </c>
      <c r="L435" s="8">
        <f>Table1[[#This Row],[PartyCVotes]]/Table1[[#This Row],[RegisteredVoters]]</f>
        <v>1.7699115044247787E-2</v>
      </c>
      <c r="M435">
        <f>ABS(Table1[[#This Row],[PartyAVotes]]-Table1[[#This Row],[PartyBVotes]])</f>
        <v>25</v>
      </c>
      <c r="N435" s="11">
        <f>Table1[[#This Row],[TotalVotesCast]]/Table1[[#This Row],[RegisteredVoters]]</f>
        <v>0.98672566371681414</v>
      </c>
      <c r="O435" t="str">
        <f>IF(Table1[[#This Row],[RegisteredVoters]]=Table1[[#This Row],[TotalVotesCast]],"Match","")</f>
        <v/>
      </c>
    </row>
    <row r="436" spans="1:15" ht="13.2">
      <c r="A436" s="1" t="s">
        <v>518</v>
      </c>
      <c r="B436" t="s">
        <v>10</v>
      </c>
      <c r="C436" t="s">
        <v>11</v>
      </c>
      <c r="D436" t="s">
        <v>485</v>
      </c>
      <c r="E436">
        <v>670</v>
      </c>
      <c r="F436">
        <v>325</v>
      </c>
      <c r="G436">
        <v>305</v>
      </c>
      <c r="H436">
        <v>10</v>
      </c>
      <c r="I436">
        <v>640</v>
      </c>
      <c r="J436" s="8">
        <f>Table1[[#This Row],[PartyAVotes]]/Table1[[#This Row],[RegisteredVoters]]</f>
        <v>0.48507462686567165</v>
      </c>
      <c r="K436" s="8">
        <f>Table1[[#This Row],[PartyBVotes]]/Table1[[#This Row],[RegisteredVoters]]</f>
        <v>0.45522388059701491</v>
      </c>
      <c r="L436" s="8">
        <f>Table1[[#This Row],[PartyCVotes]]/Table1[[#This Row],[RegisteredVoters]]</f>
        <v>1.4925373134328358E-2</v>
      </c>
      <c r="M436">
        <f>ABS(Table1[[#This Row],[PartyAVotes]]-Table1[[#This Row],[PartyBVotes]])</f>
        <v>20</v>
      </c>
      <c r="N436" s="11">
        <f>Table1[[#This Row],[TotalVotesCast]]/Table1[[#This Row],[RegisteredVoters]]</f>
        <v>0.95522388059701491</v>
      </c>
      <c r="O436" t="str">
        <f>IF(Table1[[#This Row],[RegisteredVoters]]=Table1[[#This Row],[TotalVotesCast]],"Match","")</f>
        <v/>
      </c>
    </row>
    <row r="437" spans="1:15" ht="13.2">
      <c r="A437" s="1" t="s">
        <v>519</v>
      </c>
      <c r="B437" t="s">
        <v>15</v>
      </c>
      <c r="C437" t="s">
        <v>16</v>
      </c>
      <c r="D437" t="s">
        <v>485</v>
      </c>
      <c r="E437">
        <v>970</v>
      </c>
      <c r="F437">
        <v>475</v>
      </c>
      <c r="G437">
        <v>455</v>
      </c>
      <c r="H437">
        <v>15</v>
      </c>
      <c r="I437">
        <v>945</v>
      </c>
      <c r="J437" s="8">
        <f>Table1[[#This Row],[PartyAVotes]]/Table1[[#This Row],[RegisteredVoters]]</f>
        <v>0.48969072164948452</v>
      </c>
      <c r="K437" s="8">
        <f>Table1[[#This Row],[PartyBVotes]]/Table1[[#This Row],[RegisteredVoters]]</f>
        <v>0.46907216494845361</v>
      </c>
      <c r="L437" s="8">
        <f>Table1[[#This Row],[PartyCVotes]]/Table1[[#This Row],[RegisteredVoters]]</f>
        <v>1.5463917525773196E-2</v>
      </c>
      <c r="M437">
        <f>ABS(Table1[[#This Row],[PartyAVotes]]-Table1[[#This Row],[PartyBVotes]])</f>
        <v>20</v>
      </c>
      <c r="N437" s="11">
        <f>Table1[[#This Row],[TotalVotesCast]]/Table1[[#This Row],[RegisteredVoters]]</f>
        <v>0.97422680412371132</v>
      </c>
      <c r="O437" t="str">
        <f>IF(Table1[[#This Row],[RegisteredVoters]]=Table1[[#This Row],[TotalVotesCast]],"Match","")</f>
        <v/>
      </c>
    </row>
    <row r="438" spans="1:15" ht="13.2">
      <c r="A438" s="1" t="s">
        <v>520</v>
      </c>
      <c r="B438" t="s">
        <v>18</v>
      </c>
      <c r="C438" t="s">
        <v>20</v>
      </c>
      <c r="D438" t="s">
        <v>521</v>
      </c>
      <c r="E438">
        <v>1060</v>
      </c>
      <c r="F438">
        <v>525</v>
      </c>
      <c r="G438">
        <v>505</v>
      </c>
      <c r="H438">
        <v>15</v>
      </c>
      <c r="I438">
        <v>1045</v>
      </c>
      <c r="J438" s="8">
        <f>Table1[[#This Row],[PartyAVotes]]/Table1[[#This Row],[RegisteredVoters]]</f>
        <v>0.49528301886792453</v>
      </c>
      <c r="K438" s="8">
        <f>Table1[[#This Row],[PartyBVotes]]/Table1[[#This Row],[RegisteredVoters]]</f>
        <v>0.47641509433962265</v>
      </c>
      <c r="L438" s="8">
        <f>Table1[[#This Row],[PartyCVotes]]/Table1[[#This Row],[RegisteredVoters]]</f>
        <v>1.4150943396226415E-2</v>
      </c>
      <c r="M438">
        <f>ABS(Table1[[#This Row],[PartyAVotes]]-Table1[[#This Row],[PartyBVotes]])</f>
        <v>20</v>
      </c>
      <c r="N438" s="11">
        <f>Table1[[#This Row],[TotalVotesCast]]/Table1[[#This Row],[RegisteredVoters]]</f>
        <v>0.98584905660377353</v>
      </c>
      <c r="O438" t="str">
        <f>IF(Table1[[#This Row],[RegisteredVoters]]=Table1[[#This Row],[TotalVotesCast]],"Match","")</f>
        <v/>
      </c>
    </row>
    <row r="439" spans="1:15" ht="13.2">
      <c r="A439" s="1" t="s">
        <v>522</v>
      </c>
      <c r="B439" t="s">
        <v>21</v>
      </c>
      <c r="C439" t="s">
        <v>22</v>
      </c>
      <c r="D439" t="s">
        <v>480</v>
      </c>
      <c r="E439">
        <v>1320</v>
      </c>
      <c r="F439">
        <v>645</v>
      </c>
      <c r="G439">
        <v>615</v>
      </c>
      <c r="H439">
        <v>25</v>
      </c>
      <c r="I439">
        <v>1285</v>
      </c>
      <c r="J439" s="8">
        <f>Table1[[#This Row],[PartyAVotes]]/Table1[[#This Row],[RegisteredVoters]]</f>
        <v>0.48863636363636365</v>
      </c>
      <c r="K439" s="8">
        <f>Table1[[#This Row],[PartyBVotes]]/Table1[[#This Row],[RegisteredVoters]]</f>
        <v>0.46590909090909088</v>
      </c>
      <c r="L439" s="8">
        <f>Table1[[#This Row],[PartyCVotes]]/Table1[[#This Row],[RegisteredVoters]]</f>
        <v>1.893939393939394E-2</v>
      </c>
      <c r="M439">
        <f>ABS(Table1[[#This Row],[PartyAVotes]]-Table1[[#This Row],[PartyBVotes]])</f>
        <v>30</v>
      </c>
      <c r="N439" s="11">
        <f>Table1[[#This Row],[TotalVotesCast]]/Table1[[#This Row],[RegisteredVoters]]</f>
        <v>0.97348484848484851</v>
      </c>
      <c r="O439" t="str">
        <f>IF(Table1[[#This Row],[RegisteredVoters]]=Table1[[#This Row],[TotalVotesCast]],"Match","")</f>
        <v/>
      </c>
    </row>
    <row r="440" spans="1:15" ht="13.2">
      <c r="A440" s="1" t="s">
        <v>523</v>
      </c>
      <c r="B440" t="s">
        <v>10</v>
      </c>
      <c r="C440" t="s">
        <v>14</v>
      </c>
      <c r="D440" t="s">
        <v>453</v>
      </c>
      <c r="E440">
        <v>760</v>
      </c>
      <c r="F440">
        <v>370</v>
      </c>
      <c r="G440">
        <v>350</v>
      </c>
      <c r="H440">
        <v>15</v>
      </c>
      <c r="I440">
        <v>735</v>
      </c>
      <c r="J440" s="8">
        <f>Table1[[#This Row],[PartyAVotes]]/Table1[[#This Row],[RegisteredVoters]]</f>
        <v>0.48684210526315791</v>
      </c>
      <c r="K440" s="8">
        <f>Table1[[#This Row],[PartyBVotes]]/Table1[[#This Row],[RegisteredVoters]]</f>
        <v>0.46052631578947367</v>
      </c>
      <c r="L440" s="8">
        <f>Table1[[#This Row],[PartyCVotes]]/Table1[[#This Row],[RegisteredVoters]]</f>
        <v>1.9736842105263157E-2</v>
      </c>
      <c r="M440">
        <f>ABS(Table1[[#This Row],[PartyAVotes]]-Table1[[#This Row],[PartyBVotes]])</f>
        <v>20</v>
      </c>
      <c r="N440" s="11">
        <f>Table1[[#This Row],[TotalVotesCast]]/Table1[[#This Row],[RegisteredVoters]]</f>
        <v>0.96710526315789469</v>
      </c>
      <c r="O440" t="str">
        <f>IF(Table1[[#This Row],[RegisteredVoters]]=Table1[[#This Row],[TotalVotesCast]],"Match","")</f>
        <v/>
      </c>
    </row>
    <row r="441" spans="1:15" ht="13.2">
      <c r="A441" s="1" t="s">
        <v>524</v>
      </c>
      <c r="B441" t="s">
        <v>15</v>
      </c>
      <c r="C441" t="s">
        <v>17</v>
      </c>
      <c r="D441" t="s">
        <v>435</v>
      </c>
      <c r="E441">
        <v>810</v>
      </c>
      <c r="F441">
        <v>400</v>
      </c>
      <c r="G441">
        <v>380</v>
      </c>
      <c r="H441">
        <v>15</v>
      </c>
      <c r="I441">
        <v>795</v>
      </c>
      <c r="J441" s="8">
        <f>Table1[[#This Row],[PartyAVotes]]/Table1[[#This Row],[RegisteredVoters]]</f>
        <v>0.49382716049382713</v>
      </c>
      <c r="K441" s="8">
        <f>Table1[[#This Row],[PartyBVotes]]/Table1[[#This Row],[RegisteredVoters]]</f>
        <v>0.46913580246913578</v>
      </c>
      <c r="L441" s="8">
        <f>Table1[[#This Row],[PartyCVotes]]/Table1[[#This Row],[RegisteredVoters]]</f>
        <v>1.8518518518518517E-2</v>
      </c>
      <c r="M441">
        <f>ABS(Table1[[#This Row],[PartyAVotes]]-Table1[[#This Row],[PartyBVotes]])</f>
        <v>20</v>
      </c>
      <c r="N441" s="11">
        <f>Table1[[#This Row],[TotalVotesCast]]/Table1[[#This Row],[RegisteredVoters]]</f>
        <v>0.98148148148148151</v>
      </c>
      <c r="O441" t="str">
        <f>IF(Table1[[#This Row],[RegisteredVoters]]=Table1[[#This Row],[TotalVotesCast]],"Match","")</f>
        <v/>
      </c>
    </row>
    <row r="442" spans="1:15" ht="13.2">
      <c r="A442" s="1" t="s">
        <v>525</v>
      </c>
      <c r="B442" t="s">
        <v>18</v>
      </c>
      <c r="C442" t="s">
        <v>19</v>
      </c>
      <c r="D442" t="s">
        <v>462</v>
      </c>
      <c r="E442">
        <v>1080</v>
      </c>
      <c r="F442">
        <v>535</v>
      </c>
      <c r="G442">
        <v>510</v>
      </c>
      <c r="H442">
        <v>20</v>
      </c>
      <c r="I442">
        <v>1065</v>
      </c>
      <c r="J442" s="8">
        <f>Table1[[#This Row],[PartyAVotes]]/Table1[[#This Row],[RegisteredVoters]]</f>
        <v>0.49537037037037035</v>
      </c>
      <c r="K442" s="8">
        <f>Table1[[#This Row],[PartyBVotes]]/Table1[[#This Row],[RegisteredVoters]]</f>
        <v>0.47222222222222221</v>
      </c>
      <c r="L442" s="8">
        <f>Table1[[#This Row],[PartyCVotes]]/Table1[[#This Row],[RegisteredVoters]]</f>
        <v>1.8518518518518517E-2</v>
      </c>
      <c r="M442">
        <f>ABS(Table1[[#This Row],[PartyAVotes]]-Table1[[#This Row],[PartyBVotes]])</f>
        <v>25</v>
      </c>
      <c r="N442" s="11">
        <f>Table1[[#This Row],[TotalVotesCast]]/Table1[[#This Row],[RegisteredVoters]]</f>
        <v>0.98611111111111116</v>
      </c>
      <c r="O442" t="str">
        <f>IF(Table1[[#This Row],[RegisteredVoters]]=Table1[[#This Row],[TotalVotesCast]],"Match","")</f>
        <v/>
      </c>
    </row>
    <row r="443" spans="1:15" ht="13.2">
      <c r="A443" s="1" t="s">
        <v>526</v>
      </c>
      <c r="B443" t="s">
        <v>21</v>
      </c>
      <c r="C443" t="s">
        <v>23</v>
      </c>
      <c r="D443" t="s">
        <v>444</v>
      </c>
      <c r="E443">
        <v>1140</v>
      </c>
      <c r="F443">
        <v>565</v>
      </c>
      <c r="G443">
        <v>540</v>
      </c>
      <c r="H443">
        <v>20</v>
      </c>
      <c r="I443">
        <v>1125</v>
      </c>
      <c r="J443" s="8">
        <f>Table1[[#This Row],[PartyAVotes]]/Table1[[#This Row],[RegisteredVoters]]</f>
        <v>0.49561403508771928</v>
      </c>
      <c r="K443" s="8">
        <f>Table1[[#This Row],[PartyBVotes]]/Table1[[#This Row],[RegisteredVoters]]</f>
        <v>0.47368421052631576</v>
      </c>
      <c r="L443" s="8">
        <f>Table1[[#This Row],[PartyCVotes]]/Table1[[#This Row],[RegisteredVoters]]</f>
        <v>1.7543859649122806E-2</v>
      </c>
      <c r="M443">
        <f>ABS(Table1[[#This Row],[PartyAVotes]]-Table1[[#This Row],[PartyBVotes]])</f>
        <v>25</v>
      </c>
      <c r="N443" s="11">
        <f>Table1[[#This Row],[TotalVotesCast]]/Table1[[#This Row],[RegisteredVoters]]</f>
        <v>0.98684210526315785</v>
      </c>
      <c r="O443" t="str">
        <f>IF(Table1[[#This Row],[RegisteredVoters]]=Table1[[#This Row],[TotalVotesCast]],"Match","")</f>
        <v/>
      </c>
    </row>
    <row r="444" spans="1:15" ht="13.2">
      <c r="A444" s="1" t="s">
        <v>527</v>
      </c>
      <c r="B444" t="s">
        <v>10</v>
      </c>
      <c r="C444" t="s">
        <v>11</v>
      </c>
      <c r="D444" t="s">
        <v>494</v>
      </c>
      <c r="E444">
        <v>680</v>
      </c>
      <c r="F444">
        <v>330</v>
      </c>
      <c r="G444">
        <v>310</v>
      </c>
      <c r="H444">
        <v>10</v>
      </c>
      <c r="I444">
        <v>650</v>
      </c>
      <c r="J444" s="8">
        <f>Table1[[#This Row],[PartyAVotes]]/Table1[[#This Row],[RegisteredVoters]]</f>
        <v>0.48529411764705882</v>
      </c>
      <c r="K444" s="8">
        <f>Table1[[#This Row],[PartyBVotes]]/Table1[[#This Row],[RegisteredVoters]]</f>
        <v>0.45588235294117646</v>
      </c>
      <c r="L444" s="8">
        <f>Table1[[#This Row],[PartyCVotes]]/Table1[[#This Row],[RegisteredVoters]]</f>
        <v>1.4705882352941176E-2</v>
      </c>
      <c r="M444">
        <f>ABS(Table1[[#This Row],[PartyAVotes]]-Table1[[#This Row],[PartyBVotes]])</f>
        <v>20</v>
      </c>
      <c r="N444" s="11">
        <f>Table1[[#This Row],[TotalVotesCast]]/Table1[[#This Row],[RegisteredVoters]]</f>
        <v>0.95588235294117652</v>
      </c>
      <c r="O444" t="str">
        <f>IF(Table1[[#This Row],[RegisteredVoters]]=Table1[[#This Row],[TotalVotesCast]],"Match","")</f>
        <v/>
      </c>
    </row>
    <row r="445" spans="1:15" ht="13.2">
      <c r="A445" s="1" t="s">
        <v>528</v>
      </c>
      <c r="B445" t="s">
        <v>15</v>
      </c>
      <c r="C445" t="s">
        <v>16</v>
      </c>
      <c r="D445" t="s">
        <v>494</v>
      </c>
      <c r="E445">
        <v>980</v>
      </c>
      <c r="F445">
        <v>480</v>
      </c>
      <c r="G445">
        <v>460</v>
      </c>
      <c r="H445">
        <v>15</v>
      </c>
      <c r="I445">
        <v>955</v>
      </c>
      <c r="J445" s="8">
        <f>Table1[[#This Row],[PartyAVotes]]/Table1[[#This Row],[RegisteredVoters]]</f>
        <v>0.48979591836734693</v>
      </c>
      <c r="K445" s="8">
        <f>Table1[[#This Row],[PartyBVotes]]/Table1[[#This Row],[RegisteredVoters]]</f>
        <v>0.46938775510204084</v>
      </c>
      <c r="L445" s="8">
        <f>Table1[[#This Row],[PartyCVotes]]/Table1[[#This Row],[RegisteredVoters]]</f>
        <v>1.5306122448979591E-2</v>
      </c>
      <c r="M445">
        <f>ABS(Table1[[#This Row],[PartyAVotes]]-Table1[[#This Row],[PartyBVotes]])</f>
        <v>20</v>
      </c>
      <c r="N445" s="11">
        <f>Table1[[#This Row],[TotalVotesCast]]/Table1[[#This Row],[RegisteredVoters]]</f>
        <v>0.97448979591836737</v>
      </c>
      <c r="O445" t="str">
        <f>IF(Table1[[#This Row],[RegisteredVoters]]=Table1[[#This Row],[TotalVotesCast]],"Match","")</f>
        <v/>
      </c>
    </row>
    <row r="446" spans="1:15" ht="13.2">
      <c r="A446" s="1" t="s">
        <v>529</v>
      </c>
      <c r="B446" t="s">
        <v>18</v>
      </c>
      <c r="C446" t="s">
        <v>20</v>
      </c>
      <c r="D446" t="s">
        <v>530</v>
      </c>
      <c r="E446">
        <v>1070</v>
      </c>
      <c r="F446">
        <v>530</v>
      </c>
      <c r="G446">
        <v>510</v>
      </c>
      <c r="H446">
        <v>15</v>
      </c>
      <c r="I446">
        <v>1055</v>
      </c>
      <c r="J446" s="8">
        <f>Table1[[#This Row],[PartyAVotes]]/Table1[[#This Row],[RegisteredVoters]]</f>
        <v>0.49532710280373832</v>
      </c>
      <c r="K446" s="8">
        <f>Table1[[#This Row],[PartyBVotes]]/Table1[[#This Row],[RegisteredVoters]]</f>
        <v>0.47663551401869159</v>
      </c>
      <c r="L446" s="8">
        <f>Table1[[#This Row],[PartyCVotes]]/Table1[[#This Row],[RegisteredVoters]]</f>
        <v>1.4018691588785047E-2</v>
      </c>
      <c r="M446">
        <f>ABS(Table1[[#This Row],[PartyAVotes]]-Table1[[#This Row],[PartyBVotes]])</f>
        <v>20</v>
      </c>
      <c r="N446" s="11">
        <f>Table1[[#This Row],[TotalVotesCast]]/Table1[[#This Row],[RegisteredVoters]]</f>
        <v>0.98598130841121501</v>
      </c>
      <c r="O446" t="str">
        <f>IF(Table1[[#This Row],[RegisteredVoters]]=Table1[[#This Row],[TotalVotesCast]],"Match","")</f>
        <v/>
      </c>
    </row>
    <row r="447" spans="1:15" ht="13.2">
      <c r="A447" s="1" t="s">
        <v>531</v>
      </c>
      <c r="B447" t="s">
        <v>21</v>
      </c>
      <c r="C447" t="s">
        <v>22</v>
      </c>
      <c r="D447" t="s">
        <v>485</v>
      </c>
      <c r="E447">
        <v>1330</v>
      </c>
      <c r="F447">
        <v>650</v>
      </c>
      <c r="G447">
        <v>620</v>
      </c>
      <c r="H447">
        <v>25</v>
      </c>
      <c r="I447">
        <v>1295</v>
      </c>
      <c r="J447" s="8">
        <f>Table1[[#This Row],[PartyAVotes]]/Table1[[#This Row],[RegisteredVoters]]</f>
        <v>0.48872180451127817</v>
      </c>
      <c r="K447" s="8">
        <f>Table1[[#This Row],[PartyBVotes]]/Table1[[#This Row],[RegisteredVoters]]</f>
        <v>0.46616541353383456</v>
      </c>
      <c r="L447" s="8">
        <f>Table1[[#This Row],[PartyCVotes]]/Table1[[#This Row],[RegisteredVoters]]</f>
        <v>1.8796992481203006E-2</v>
      </c>
      <c r="M447">
        <f>ABS(Table1[[#This Row],[PartyAVotes]]-Table1[[#This Row],[PartyBVotes]])</f>
        <v>30</v>
      </c>
      <c r="N447" s="11">
        <f>Table1[[#This Row],[TotalVotesCast]]/Table1[[#This Row],[RegisteredVoters]]</f>
        <v>0.97368421052631582</v>
      </c>
      <c r="O447" t="str">
        <f>IF(Table1[[#This Row],[RegisteredVoters]]=Table1[[#This Row],[TotalVotesCast]],"Match","")</f>
        <v/>
      </c>
    </row>
    <row r="448" spans="1:15" ht="13.2">
      <c r="A448" s="1" t="s">
        <v>532</v>
      </c>
      <c r="B448" t="s">
        <v>10</v>
      </c>
      <c r="C448" t="s">
        <v>14</v>
      </c>
      <c r="D448" t="s">
        <v>462</v>
      </c>
      <c r="E448">
        <v>770</v>
      </c>
      <c r="F448">
        <v>375</v>
      </c>
      <c r="G448">
        <v>355</v>
      </c>
      <c r="H448">
        <v>15</v>
      </c>
      <c r="I448">
        <v>745</v>
      </c>
      <c r="J448" s="8">
        <f>Table1[[#This Row],[PartyAVotes]]/Table1[[#This Row],[RegisteredVoters]]</f>
        <v>0.48701298701298701</v>
      </c>
      <c r="K448" s="8">
        <f>Table1[[#This Row],[PartyBVotes]]/Table1[[#This Row],[RegisteredVoters]]</f>
        <v>0.46103896103896103</v>
      </c>
      <c r="L448" s="8">
        <f>Table1[[#This Row],[PartyCVotes]]/Table1[[#This Row],[RegisteredVoters]]</f>
        <v>1.948051948051948E-2</v>
      </c>
      <c r="M448">
        <f>ABS(Table1[[#This Row],[PartyAVotes]]-Table1[[#This Row],[PartyBVotes]])</f>
        <v>20</v>
      </c>
      <c r="N448" s="11">
        <f>Table1[[#This Row],[TotalVotesCast]]/Table1[[#This Row],[RegisteredVoters]]</f>
        <v>0.96753246753246758</v>
      </c>
      <c r="O448" t="str">
        <f>IF(Table1[[#This Row],[RegisteredVoters]]=Table1[[#This Row],[TotalVotesCast]],"Match","")</f>
        <v/>
      </c>
    </row>
    <row r="449" spans="1:15" ht="13.2">
      <c r="A449" s="1" t="s">
        <v>533</v>
      </c>
      <c r="B449" t="s">
        <v>15</v>
      </c>
      <c r="C449" t="s">
        <v>17</v>
      </c>
      <c r="D449" t="s">
        <v>444</v>
      </c>
      <c r="E449">
        <v>820</v>
      </c>
      <c r="F449">
        <v>405</v>
      </c>
      <c r="G449">
        <v>385</v>
      </c>
      <c r="H449">
        <v>15</v>
      </c>
      <c r="I449">
        <v>805</v>
      </c>
      <c r="J449" s="8">
        <f>Table1[[#This Row],[PartyAVotes]]/Table1[[#This Row],[RegisteredVoters]]</f>
        <v>0.49390243902439024</v>
      </c>
      <c r="K449" s="8">
        <f>Table1[[#This Row],[PartyBVotes]]/Table1[[#This Row],[RegisteredVoters]]</f>
        <v>0.46951219512195119</v>
      </c>
      <c r="L449" s="8">
        <f>Table1[[#This Row],[PartyCVotes]]/Table1[[#This Row],[RegisteredVoters]]</f>
        <v>1.8292682926829267E-2</v>
      </c>
      <c r="M449">
        <f>ABS(Table1[[#This Row],[PartyAVotes]]-Table1[[#This Row],[PartyBVotes]])</f>
        <v>20</v>
      </c>
      <c r="N449" s="11">
        <f>Table1[[#This Row],[TotalVotesCast]]/Table1[[#This Row],[RegisteredVoters]]</f>
        <v>0.98170731707317072</v>
      </c>
      <c r="O449" t="str">
        <f>IF(Table1[[#This Row],[RegisteredVoters]]=Table1[[#This Row],[TotalVotesCast]],"Match","")</f>
        <v/>
      </c>
    </row>
    <row r="450" spans="1:15" ht="13.2">
      <c r="A450" s="1" t="s">
        <v>534</v>
      </c>
      <c r="B450" t="s">
        <v>18</v>
      </c>
      <c r="C450" t="s">
        <v>19</v>
      </c>
      <c r="D450" t="s">
        <v>471</v>
      </c>
      <c r="E450">
        <v>1090</v>
      </c>
      <c r="F450">
        <v>540</v>
      </c>
      <c r="G450">
        <v>515</v>
      </c>
      <c r="H450">
        <v>20</v>
      </c>
      <c r="I450">
        <v>1075</v>
      </c>
      <c r="J450" s="8">
        <f>Table1[[#This Row],[PartyAVotes]]/Table1[[#This Row],[RegisteredVoters]]</f>
        <v>0.49541284403669728</v>
      </c>
      <c r="K450" s="8">
        <f>Table1[[#This Row],[PartyBVotes]]/Table1[[#This Row],[RegisteredVoters]]</f>
        <v>0.47247706422018348</v>
      </c>
      <c r="L450" s="8">
        <f>Table1[[#This Row],[PartyCVotes]]/Table1[[#This Row],[RegisteredVoters]]</f>
        <v>1.834862385321101E-2</v>
      </c>
      <c r="M450">
        <f>ABS(Table1[[#This Row],[PartyAVotes]]-Table1[[#This Row],[PartyBVotes]])</f>
        <v>25</v>
      </c>
      <c r="N450" s="11">
        <f>Table1[[#This Row],[TotalVotesCast]]/Table1[[#This Row],[RegisteredVoters]]</f>
        <v>0.98623853211009171</v>
      </c>
      <c r="O450" t="str">
        <f>IF(Table1[[#This Row],[RegisteredVoters]]=Table1[[#This Row],[TotalVotesCast]],"Match","")</f>
        <v/>
      </c>
    </row>
    <row r="451" spans="1:15" ht="13.2">
      <c r="A451" s="1" t="s">
        <v>535</v>
      </c>
      <c r="B451" t="s">
        <v>21</v>
      </c>
      <c r="C451" t="s">
        <v>23</v>
      </c>
      <c r="D451" t="s">
        <v>453</v>
      </c>
      <c r="E451">
        <v>1150</v>
      </c>
      <c r="F451">
        <v>570</v>
      </c>
      <c r="G451">
        <v>545</v>
      </c>
      <c r="H451">
        <v>20</v>
      </c>
      <c r="I451">
        <v>1135</v>
      </c>
      <c r="J451" s="8">
        <f>Table1[[#This Row],[PartyAVotes]]/Table1[[#This Row],[RegisteredVoters]]</f>
        <v>0.4956521739130435</v>
      </c>
      <c r="K451" s="8">
        <f>Table1[[#This Row],[PartyBVotes]]/Table1[[#This Row],[RegisteredVoters]]</f>
        <v>0.47391304347826085</v>
      </c>
      <c r="L451" s="8">
        <f>Table1[[#This Row],[PartyCVotes]]/Table1[[#This Row],[RegisteredVoters]]</f>
        <v>1.7391304347826087E-2</v>
      </c>
      <c r="M451">
        <f>ABS(Table1[[#This Row],[PartyAVotes]]-Table1[[#This Row],[PartyBVotes]])</f>
        <v>25</v>
      </c>
      <c r="N451" s="11">
        <f>Table1[[#This Row],[TotalVotesCast]]/Table1[[#This Row],[RegisteredVoters]]</f>
        <v>0.9869565217391304</v>
      </c>
      <c r="O451" t="str">
        <f>IF(Table1[[#This Row],[RegisteredVoters]]=Table1[[#This Row],[TotalVotesCast]],"Match","")</f>
        <v/>
      </c>
    </row>
    <row r="452" spans="1:15" ht="13.2">
      <c r="A452" s="1" t="s">
        <v>536</v>
      </c>
      <c r="B452" t="s">
        <v>10</v>
      </c>
      <c r="C452" t="s">
        <v>11</v>
      </c>
      <c r="D452" t="s">
        <v>503</v>
      </c>
      <c r="E452">
        <v>690</v>
      </c>
      <c r="F452">
        <v>335</v>
      </c>
      <c r="G452">
        <v>315</v>
      </c>
      <c r="H452">
        <v>10</v>
      </c>
      <c r="I452">
        <v>660</v>
      </c>
      <c r="J452" s="8">
        <f>Table1[[#This Row],[PartyAVotes]]/Table1[[#This Row],[RegisteredVoters]]</f>
        <v>0.48550724637681159</v>
      </c>
      <c r="K452" s="8">
        <f>Table1[[#This Row],[PartyBVotes]]/Table1[[#This Row],[RegisteredVoters]]</f>
        <v>0.45652173913043476</v>
      </c>
      <c r="L452" s="8">
        <f>Table1[[#This Row],[PartyCVotes]]/Table1[[#This Row],[RegisteredVoters]]</f>
        <v>1.4492753623188406E-2</v>
      </c>
      <c r="M452">
        <f>ABS(Table1[[#This Row],[PartyAVotes]]-Table1[[#This Row],[PartyBVotes]])</f>
        <v>20</v>
      </c>
      <c r="N452" s="11">
        <f>Table1[[#This Row],[TotalVotesCast]]/Table1[[#This Row],[RegisteredVoters]]</f>
        <v>0.95652173913043481</v>
      </c>
      <c r="O452" t="str">
        <f>IF(Table1[[#This Row],[RegisteredVoters]]=Table1[[#This Row],[TotalVotesCast]],"Match","")</f>
        <v/>
      </c>
    </row>
    <row r="453" spans="1:15" ht="13.2">
      <c r="A453" s="1" t="s">
        <v>537</v>
      </c>
      <c r="B453" t="s">
        <v>15</v>
      </c>
      <c r="C453" t="s">
        <v>16</v>
      </c>
      <c r="D453" t="s">
        <v>503</v>
      </c>
      <c r="E453">
        <v>990</v>
      </c>
      <c r="F453">
        <v>485</v>
      </c>
      <c r="G453">
        <v>465</v>
      </c>
      <c r="H453">
        <v>15</v>
      </c>
      <c r="I453">
        <v>965</v>
      </c>
      <c r="J453" s="8">
        <f>Table1[[#This Row],[PartyAVotes]]/Table1[[#This Row],[RegisteredVoters]]</f>
        <v>0.48989898989898989</v>
      </c>
      <c r="K453" s="8">
        <f>Table1[[#This Row],[PartyBVotes]]/Table1[[#This Row],[RegisteredVoters]]</f>
        <v>0.46969696969696972</v>
      </c>
      <c r="L453" s="8">
        <f>Table1[[#This Row],[PartyCVotes]]/Table1[[#This Row],[RegisteredVoters]]</f>
        <v>1.5151515151515152E-2</v>
      </c>
      <c r="M453">
        <f>ABS(Table1[[#This Row],[PartyAVotes]]-Table1[[#This Row],[PartyBVotes]])</f>
        <v>20</v>
      </c>
      <c r="N453" s="11">
        <f>Table1[[#This Row],[TotalVotesCast]]/Table1[[#This Row],[RegisteredVoters]]</f>
        <v>0.9747474747474747</v>
      </c>
      <c r="O453" t="str">
        <f>IF(Table1[[#This Row],[RegisteredVoters]]=Table1[[#This Row],[TotalVotesCast]],"Match","")</f>
        <v/>
      </c>
    </row>
    <row r="454" spans="1:15" ht="13.2">
      <c r="A454" s="1" t="s">
        <v>538</v>
      </c>
      <c r="B454" t="s">
        <v>18</v>
      </c>
      <c r="C454" t="s">
        <v>20</v>
      </c>
      <c r="D454" t="s">
        <v>539</v>
      </c>
      <c r="E454">
        <v>1080</v>
      </c>
      <c r="F454">
        <v>535</v>
      </c>
      <c r="G454">
        <v>515</v>
      </c>
      <c r="H454">
        <v>15</v>
      </c>
      <c r="I454">
        <v>1065</v>
      </c>
      <c r="J454" s="8">
        <f>Table1[[#This Row],[PartyAVotes]]/Table1[[#This Row],[RegisteredVoters]]</f>
        <v>0.49537037037037035</v>
      </c>
      <c r="K454" s="8">
        <f>Table1[[#This Row],[PartyBVotes]]/Table1[[#This Row],[RegisteredVoters]]</f>
        <v>0.47685185185185186</v>
      </c>
      <c r="L454" s="8">
        <f>Table1[[#This Row],[PartyCVotes]]/Table1[[#This Row],[RegisteredVoters]]</f>
        <v>1.3888888888888888E-2</v>
      </c>
      <c r="M454">
        <f>ABS(Table1[[#This Row],[PartyAVotes]]-Table1[[#This Row],[PartyBVotes]])</f>
        <v>20</v>
      </c>
      <c r="N454" s="11">
        <f>Table1[[#This Row],[TotalVotesCast]]/Table1[[#This Row],[RegisteredVoters]]</f>
        <v>0.98611111111111116</v>
      </c>
      <c r="O454" t="str">
        <f>IF(Table1[[#This Row],[RegisteredVoters]]=Table1[[#This Row],[TotalVotesCast]],"Match","")</f>
        <v/>
      </c>
    </row>
    <row r="455" spans="1:15" ht="13.2">
      <c r="A455" s="1" t="s">
        <v>540</v>
      </c>
      <c r="B455" t="s">
        <v>21</v>
      </c>
      <c r="C455" t="s">
        <v>22</v>
      </c>
      <c r="D455" t="s">
        <v>494</v>
      </c>
      <c r="E455">
        <v>1340</v>
      </c>
      <c r="F455">
        <v>655</v>
      </c>
      <c r="G455">
        <v>625</v>
      </c>
      <c r="H455">
        <v>25</v>
      </c>
      <c r="I455">
        <v>1305</v>
      </c>
      <c r="J455" s="8">
        <f>Table1[[#This Row],[PartyAVotes]]/Table1[[#This Row],[RegisteredVoters]]</f>
        <v>0.48880597014925375</v>
      </c>
      <c r="K455" s="8">
        <f>Table1[[#This Row],[PartyBVotes]]/Table1[[#This Row],[RegisteredVoters]]</f>
        <v>0.46641791044776121</v>
      </c>
      <c r="L455" s="8">
        <f>Table1[[#This Row],[PartyCVotes]]/Table1[[#This Row],[RegisteredVoters]]</f>
        <v>1.8656716417910446E-2</v>
      </c>
      <c r="M455">
        <f>ABS(Table1[[#This Row],[PartyAVotes]]-Table1[[#This Row],[PartyBVotes]])</f>
        <v>30</v>
      </c>
      <c r="N455" s="11">
        <f>Table1[[#This Row],[TotalVotesCast]]/Table1[[#This Row],[RegisteredVoters]]</f>
        <v>0.97388059701492535</v>
      </c>
      <c r="O455" t="str">
        <f>IF(Table1[[#This Row],[RegisteredVoters]]=Table1[[#This Row],[TotalVotesCast]],"Match","")</f>
        <v/>
      </c>
    </row>
    <row r="456" spans="1:15" ht="13.2">
      <c r="A456" s="1" t="s">
        <v>541</v>
      </c>
      <c r="B456" t="s">
        <v>10</v>
      </c>
      <c r="C456" t="s">
        <v>14</v>
      </c>
      <c r="D456" t="s">
        <v>471</v>
      </c>
      <c r="E456">
        <v>780</v>
      </c>
      <c r="F456">
        <v>380</v>
      </c>
      <c r="G456">
        <v>360</v>
      </c>
      <c r="H456">
        <v>15</v>
      </c>
      <c r="I456">
        <v>755</v>
      </c>
      <c r="J456" s="8">
        <f>Table1[[#This Row],[PartyAVotes]]/Table1[[#This Row],[RegisteredVoters]]</f>
        <v>0.48717948717948717</v>
      </c>
      <c r="K456" s="8">
        <f>Table1[[#This Row],[PartyBVotes]]/Table1[[#This Row],[RegisteredVoters]]</f>
        <v>0.46153846153846156</v>
      </c>
      <c r="L456" s="8">
        <f>Table1[[#This Row],[PartyCVotes]]/Table1[[#This Row],[RegisteredVoters]]</f>
        <v>1.9230769230769232E-2</v>
      </c>
      <c r="M456">
        <f>ABS(Table1[[#This Row],[PartyAVotes]]-Table1[[#This Row],[PartyBVotes]])</f>
        <v>20</v>
      </c>
      <c r="N456" s="11">
        <f>Table1[[#This Row],[TotalVotesCast]]/Table1[[#This Row],[RegisteredVoters]]</f>
        <v>0.96794871794871795</v>
      </c>
      <c r="O456" t="str">
        <f>IF(Table1[[#This Row],[RegisteredVoters]]=Table1[[#This Row],[TotalVotesCast]],"Match","")</f>
        <v/>
      </c>
    </row>
    <row r="457" spans="1:15" ht="13.2">
      <c r="A457" s="1" t="s">
        <v>542</v>
      </c>
      <c r="B457" t="s">
        <v>15</v>
      </c>
      <c r="C457" t="s">
        <v>17</v>
      </c>
      <c r="D457" t="s">
        <v>453</v>
      </c>
      <c r="E457">
        <v>830</v>
      </c>
      <c r="F457">
        <v>410</v>
      </c>
      <c r="G457">
        <v>390</v>
      </c>
      <c r="H457">
        <v>15</v>
      </c>
      <c r="I457">
        <v>815</v>
      </c>
      <c r="J457" s="8">
        <f>Table1[[#This Row],[PartyAVotes]]/Table1[[#This Row],[RegisteredVoters]]</f>
        <v>0.49397590361445781</v>
      </c>
      <c r="K457" s="8">
        <f>Table1[[#This Row],[PartyBVotes]]/Table1[[#This Row],[RegisteredVoters]]</f>
        <v>0.46987951807228917</v>
      </c>
      <c r="L457" s="8">
        <f>Table1[[#This Row],[PartyCVotes]]/Table1[[#This Row],[RegisteredVoters]]</f>
        <v>1.8072289156626505E-2</v>
      </c>
      <c r="M457">
        <f>ABS(Table1[[#This Row],[PartyAVotes]]-Table1[[#This Row],[PartyBVotes]])</f>
        <v>20</v>
      </c>
      <c r="N457" s="11">
        <f>Table1[[#This Row],[TotalVotesCast]]/Table1[[#This Row],[RegisteredVoters]]</f>
        <v>0.98192771084337349</v>
      </c>
      <c r="O457" t="str">
        <f>IF(Table1[[#This Row],[RegisteredVoters]]=Table1[[#This Row],[TotalVotesCast]],"Match","")</f>
        <v/>
      </c>
    </row>
    <row r="458" spans="1:15" ht="13.2">
      <c r="A458" s="1" t="s">
        <v>543</v>
      </c>
      <c r="B458" t="s">
        <v>18</v>
      </c>
      <c r="C458" t="s">
        <v>19</v>
      </c>
      <c r="D458" t="s">
        <v>480</v>
      </c>
      <c r="E458">
        <v>1100</v>
      </c>
      <c r="F458">
        <v>545</v>
      </c>
      <c r="G458">
        <v>520</v>
      </c>
      <c r="H458">
        <v>20</v>
      </c>
      <c r="I458">
        <v>1085</v>
      </c>
      <c r="J458" s="8">
        <f>Table1[[#This Row],[PartyAVotes]]/Table1[[#This Row],[RegisteredVoters]]</f>
        <v>0.49545454545454548</v>
      </c>
      <c r="K458" s="8">
        <f>Table1[[#This Row],[PartyBVotes]]/Table1[[#This Row],[RegisteredVoters]]</f>
        <v>0.47272727272727272</v>
      </c>
      <c r="L458" s="8">
        <f>Table1[[#This Row],[PartyCVotes]]/Table1[[#This Row],[RegisteredVoters]]</f>
        <v>1.8181818181818181E-2</v>
      </c>
      <c r="M458">
        <f>ABS(Table1[[#This Row],[PartyAVotes]]-Table1[[#This Row],[PartyBVotes]])</f>
        <v>25</v>
      </c>
      <c r="N458" s="11">
        <f>Table1[[#This Row],[TotalVotesCast]]/Table1[[#This Row],[RegisteredVoters]]</f>
        <v>0.98636363636363633</v>
      </c>
      <c r="O458" t="str">
        <f>IF(Table1[[#This Row],[RegisteredVoters]]=Table1[[#This Row],[TotalVotesCast]],"Match","")</f>
        <v/>
      </c>
    </row>
    <row r="459" spans="1:15" ht="13.2">
      <c r="A459" s="1" t="s">
        <v>544</v>
      </c>
      <c r="B459" t="s">
        <v>21</v>
      </c>
      <c r="C459" t="s">
        <v>23</v>
      </c>
      <c r="D459" t="s">
        <v>462</v>
      </c>
      <c r="E459">
        <v>1160</v>
      </c>
      <c r="F459">
        <v>575</v>
      </c>
      <c r="G459">
        <v>550</v>
      </c>
      <c r="H459">
        <v>20</v>
      </c>
      <c r="I459">
        <v>1145</v>
      </c>
      <c r="J459" s="8">
        <f>Table1[[#This Row],[PartyAVotes]]/Table1[[#This Row],[RegisteredVoters]]</f>
        <v>0.49568965517241381</v>
      </c>
      <c r="K459" s="8">
        <f>Table1[[#This Row],[PartyBVotes]]/Table1[[#This Row],[RegisteredVoters]]</f>
        <v>0.47413793103448276</v>
      </c>
      <c r="L459" s="8">
        <f>Table1[[#This Row],[PartyCVotes]]/Table1[[#This Row],[RegisteredVoters]]</f>
        <v>1.7241379310344827E-2</v>
      </c>
      <c r="M459">
        <f>ABS(Table1[[#This Row],[PartyAVotes]]-Table1[[#This Row],[PartyBVotes]])</f>
        <v>25</v>
      </c>
      <c r="N459" s="11">
        <f>Table1[[#This Row],[TotalVotesCast]]/Table1[[#This Row],[RegisteredVoters]]</f>
        <v>0.98706896551724133</v>
      </c>
      <c r="O459" t="str">
        <f>IF(Table1[[#This Row],[RegisteredVoters]]=Table1[[#This Row],[TotalVotesCast]],"Match","")</f>
        <v/>
      </c>
    </row>
    <row r="460" spans="1:15" ht="13.2">
      <c r="A460" s="1" t="s">
        <v>545</v>
      </c>
      <c r="B460" t="s">
        <v>10</v>
      </c>
      <c r="C460" t="s">
        <v>11</v>
      </c>
      <c r="D460" t="s">
        <v>512</v>
      </c>
      <c r="E460">
        <v>700</v>
      </c>
      <c r="F460">
        <v>340</v>
      </c>
      <c r="G460">
        <v>320</v>
      </c>
      <c r="H460">
        <v>10</v>
      </c>
      <c r="I460">
        <v>670</v>
      </c>
      <c r="J460" s="8">
        <f>Table1[[#This Row],[PartyAVotes]]/Table1[[#This Row],[RegisteredVoters]]</f>
        <v>0.48571428571428571</v>
      </c>
      <c r="K460" s="8">
        <f>Table1[[#This Row],[PartyBVotes]]/Table1[[#This Row],[RegisteredVoters]]</f>
        <v>0.45714285714285713</v>
      </c>
      <c r="L460" s="8">
        <f>Table1[[#This Row],[PartyCVotes]]/Table1[[#This Row],[RegisteredVoters]]</f>
        <v>1.4285714285714285E-2</v>
      </c>
      <c r="M460">
        <f>ABS(Table1[[#This Row],[PartyAVotes]]-Table1[[#This Row],[PartyBVotes]])</f>
        <v>20</v>
      </c>
      <c r="N460" s="11">
        <f>Table1[[#This Row],[TotalVotesCast]]/Table1[[#This Row],[RegisteredVoters]]</f>
        <v>0.95714285714285718</v>
      </c>
      <c r="O460" t="str">
        <f>IF(Table1[[#This Row],[RegisteredVoters]]=Table1[[#This Row],[TotalVotesCast]],"Match","")</f>
        <v/>
      </c>
    </row>
    <row r="461" spans="1:15" ht="13.2">
      <c r="A461" s="1" t="s">
        <v>546</v>
      </c>
      <c r="B461" t="s">
        <v>15</v>
      </c>
      <c r="C461" t="s">
        <v>16</v>
      </c>
      <c r="D461" t="s">
        <v>512</v>
      </c>
      <c r="E461">
        <v>1000</v>
      </c>
      <c r="F461">
        <v>490</v>
      </c>
      <c r="G461">
        <v>470</v>
      </c>
      <c r="H461">
        <v>15</v>
      </c>
      <c r="I461">
        <v>975</v>
      </c>
      <c r="J461" s="8">
        <f>Table1[[#This Row],[PartyAVotes]]/Table1[[#This Row],[RegisteredVoters]]</f>
        <v>0.49</v>
      </c>
      <c r="K461" s="8">
        <f>Table1[[#This Row],[PartyBVotes]]/Table1[[#This Row],[RegisteredVoters]]</f>
        <v>0.47</v>
      </c>
      <c r="L461" s="8">
        <f>Table1[[#This Row],[PartyCVotes]]/Table1[[#This Row],[RegisteredVoters]]</f>
        <v>1.4999999999999999E-2</v>
      </c>
      <c r="M461">
        <f>ABS(Table1[[#This Row],[PartyAVotes]]-Table1[[#This Row],[PartyBVotes]])</f>
        <v>20</v>
      </c>
      <c r="N461" s="11">
        <f>Table1[[#This Row],[TotalVotesCast]]/Table1[[#This Row],[RegisteredVoters]]</f>
        <v>0.97499999999999998</v>
      </c>
      <c r="O461" t="str">
        <f>IF(Table1[[#This Row],[RegisteredVoters]]=Table1[[#This Row],[TotalVotesCast]],"Match","")</f>
        <v/>
      </c>
    </row>
    <row r="462" spans="1:15" ht="13.2">
      <c r="A462" s="1" t="s">
        <v>547</v>
      </c>
      <c r="B462" t="s">
        <v>18</v>
      </c>
      <c r="C462" t="s">
        <v>20</v>
      </c>
      <c r="D462" t="s">
        <v>548</v>
      </c>
      <c r="E462">
        <v>1090</v>
      </c>
      <c r="F462">
        <v>540</v>
      </c>
      <c r="G462">
        <v>520</v>
      </c>
      <c r="H462">
        <v>15</v>
      </c>
      <c r="I462">
        <v>1075</v>
      </c>
      <c r="J462" s="8">
        <f>Table1[[#This Row],[PartyAVotes]]/Table1[[#This Row],[RegisteredVoters]]</f>
        <v>0.49541284403669728</v>
      </c>
      <c r="K462" s="8">
        <f>Table1[[#This Row],[PartyBVotes]]/Table1[[#This Row],[RegisteredVoters]]</f>
        <v>0.47706422018348627</v>
      </c>
      <c r="L462" s="8">
        <f>Table1[[#This Row],[PartyCVotes]]/Table1[[#This Row],[RegisteredVoters]]</f>
        <v>1.3761467889908258E-2</v>
      </c>
      <c r="M462">
        <f>ABS(Table1[[#This Row],[PartyAVotes]]-Table1[[#This Row],[PartyBVotes]])</f>
        <v>20</v>
      </c>
      <c r="N462" s="11">
        <f>Table1[[#This Row],[TotalVotesCast]]/Table1[[#This Row],[RegisteredVoters]]</f>
        <v>0.98623853211009171</v>
      </c>
      <c r="O462" t="str">
        <f>IF(Table1[[#This Row],[RegisteredVoters]]=Table1[[#This Row],[TotalVotesCast]],"Match","")</f>
        <v/>
      </c>
    </row>
    <row r="463" spans="1:15" ht="13.2">
      <c r="A463" s="1" t="s">
        <v>549</v>
      </c>
      <c r="B463" t="s">
        <v>21</v>
      </c>
      <c r="C463" t="s">
        <v>22</v>
      </c>
      <c r="D463" t="s">
        <v>503</v>
      </c>
      <c r="E463">
        <v>1350</v>
      </c>
      <c r="F463">
        <v>660</v>
      </c>
      <c r="G463">
        <v>630</v>
      </c>
      <c r="H463">
        <v>25</v>
      </c>
      <c r="I463">
        <v>1315</v>
      </c>
      <c r="J463" s="8">
        <f>Table1[[#This Row],[PartyAVotes]]/Table1[[#This Row],[RegisteredVoters]]</f>
        <v>0.48888888888888887</v>
      </c>
      <c r="K463" s="8">
        <f>Table1[[#This Row],[PartyBVotes]]/Table1[[#This Row],[RegisteredVoters]]</f>
        <v>0.46666666666666667</v>
      </c>
      <c r="L463" s="8">
        <f>Table1[[#This Row],[PartyCVotes]]/Table1[[#This Row],[RegisteredVoters]]</f>
        <v>1.8518518518518517E-2</v>
      </c>
      <c r="M463">
        <f>ABS(Table1[[#This Row],[PartyAVotes]]-Table1[[#This Row],[PartyBVotes]])</f>
        <v>30</v>
      </c>
      <c r="N463" s="11">
        <f>Table1[[#This Row],[TotalVotesCast]]/Table1[[#This Row],[RegisteredVoters]]</f>
        <v>0.97407407407407409</v>
      </c>
      <c r="O463" t="str">
        <f>IF(Table1[[#This Row],[RegisteredVoters]]=Table1[[#This Row],[TotalVotesCast]],"Match","")</f>
        <v/>
      </c>
    </row>
    <row r="464" spans="1:15" ht="13.2">
      <c r="A464" s="1" t="s">
        <v>550</v>
      </c>
      <c r="B464" t="s">
        <v>10</v>
      </c>
      <c r="C464" t="s">
        <v>14</v>
      </c>
      <c r="D464" t="s">
        <v>480</v>
      </c>
      <c r="E464">
        <v>790</v>
      </c>
      <c r="F464">
        <v>385</v>
      </c>
      <c r="G464">
        <v>365</v>
      </c>
      <c r="H464">
        <v>15</v>
      </c>
      <c r="I464">
        <v>765</v>
      </c>
      <c r="J464" s="8">
        <f>Table1[[#This Row],[PartyAVotes]]/Table1[[#This Row],[RegisteredVoters]]</f>
        <v>0.48734177215189872</v>
      </c>
      <c r="K464" s="8">
        <f>Table1[[#This Row],[PartyBVotes]]/Table1[[#This Row],[RegisteredVoters]]</f>
        <v>0.46202531645569622</v>
      </c>
      <c r="L464" s="8">
        <f>Table1[[#This Row],[PartyCVotes]]/Table1[[#This Row],[RegisteredVoters]]</f>
        <v>1.8987341772151899E-2</v>
      </c>
      <c r="M464">
        <f>ABS(Table1[[#This Row],[PartyAVotes]]-Table1[[#This Row],[PartyBVotes]])</f>
        <v>20</v>
      </c>
      <c r="N464" s="11">
        <f>Table1[[#This Row],[TotalVotesCast]]/Table1[[#This Row],[RegisteredVoters]]</f>
        <v>0.96835443037974689</v>
      </c>
      <c r="O464" t="str">
        <f>IF(Table1[[#This Row],[RegisteredVoters]]=Table1[[#This Row],[TotalVotesCast]],"Match","")</f>
        <v/>
      </c>
    </row>
    <row r="465" spans="1:15" ht="13.2">
      <c r="A465" s="1" t="s">
        <v>551</v>
      </c>
      <c r="B465" t="s">
        <v>15</v>
      </c>
      <c r="C465" t="s">
        <v>17</v>
      </c>
      <c r="D465" t="s">
        <v>462</v>
      </c>
      <c r="E465">
        <v>840</v>
      </c>
      <c r="F465">
        <v>415</v>
      </c>
      <c r="G465">
        <v>395</v>
      </c>
      <c r="H465">
        <v>15</v>
      </c>
      <c r="I465">
        <v>825</v>
      </c>
      <c r="J465" s="8">
        <f>Table1[[#This Row],[PartyAVotes]]/Table1[[#This Row],[RegisteredVoters]]</f>
        <v>0.49404761904761907</v>
      </c>
      <c r="K465" s="8">
        <f>Table1[[#This Row],[PartyBVotes]]/Table1[[#This Row],[RegisteredVoters]]</f>
        <v>0.47023809523809523</v>
      </c>
      <c r="L465" s="8">
        <f>Table1[[#This Row],[PartyCVotes]]/Table1[[#This Row],[RegisteredVoters]]</f>
        <v>1.7857142857142856E-2</v>
      </c>
      <c r="M465">
        <f>ABS(Table1[[#This Row],[PartyAVotes]]-Table1[[#This Row],[PartyBVotes]])</f>
        <v>20</v>
      </c>
      <c r="N465" s="11">
        <f>Table1[[#This Row],[TotalVotesCast]]/Table1[[#This Row],[RegisteredVoters]]</f>
        <v>0.9821428571428571</v>
      </c>
      <c r="O465" t="str">
        <f>IF(Table1[[#This Row],[RegisteredVoters]]=Table1[[#This Row],[TotalVotesCast]],"Match","")</f>
        <v/>
      </c>
    </row>
    <row r="466" spans="1:15" ht="13.2">
      <c r="A466" s="1" t="s">
        <v>552</v>
      </c>
      <c r="B466" t="s">
        <v>18</v>
      </c>
      <c r="C466" t="s">
        <v>19</v>
      </c>
      <c r="D466" t="s">
        <v>485</v>
      </c>
      <c r="E466">
        <v>1110</v>
      </c>
      <c r="F466">
        <v>550</v>
      </c>
      <c r="G466">
        <v>525</v>
      </c>
      <c r="H466">
        <v>20</v>
      </c>
      <c r="I466">
        <v>1095</v>
      </c>
      <c r="J466" s="8">
        <f>Table1[[#This Row],[PartyAVotes]]/Table1[[#This Row],[RegisteredVoters]]</f>
        <v>0.49549549549549549</v>
      </c>
      <c r="K466" s="8">
        <f>Table1[[#This Row],[PartyBVotes]]/Table1[[#This Row],[RegisteredVoters]]</f>
        <v>0.47297297297297297</v>
      </c>
      <c r="L466" s="8">
        <f>Table1[[#This Row],[PartyCVotes]]/Table1[[#This Row],[RegisteredVoters]]</f>
        <v>1.8018018018018018E-2</v>
      </c>
      <c r="M466">
        <f>ABS(Table1[[#This Row],[PartyAVotes]]-Table1[[#This Row],[PartyBVotes]])</f>
        <v>25</v>
      </c>
      <c r="N466" s="11">
        <f>Table1[[#This Row],[TotalVotesCast]]/Table1[[#This Row],[RegisteredVoters]]</f>
        <v>0.98648648648648651</v>
      </c>
      <c r="O466" t="str">
        <f>IF(Table1[[#This Row],[RegisteredVoters]]=Table1[[#This Row],[TotalVotesCast]],"Match","")</f>
        <v/>
      </c>
    </row>
    <row r="467" spans="1:15" ht="13.2">
      <c r="A467" s="1" t="s">
        <v>553</v>
      </c>
      <c r="B467" t="s">
        <v>21</v>
      </c>
      <c r="C467" t="s">
        <v>23</v>
      </c>
      <c r="D467" t="s">
        <v>471</v>
      </c>
      <c r="E467">
        <v>1170</v>
      </c>
      <c r="F467">
        <v>580</v>
      </c>
      <c r="G467">
        <v>555</v>
      </c>
      <c r="H467">
        <v>20</v>
      </c>
      <c r="I467">
        <v>1155</v>
      </c>
      <c r="J467" s="8">
        <f>Table1[[#This Row],[PartyAVotes]]/Table1[[#This Row],[RegisteredVoters]]</f>
        <v>0.49572649572649574</v>
      </c>
      <c r="K467" s="8">
        <f>Table1[[#This Row],[PartyBVotes]]/Table1[[#This Row],[RegisteredVoters]]</f>
        <v>0.47435897435897434</v>
      </c>
      <c r="L467" s="8">
        <f>Table1[[#This Row],[PartyCVotes]]/Table1[[#This Row],[RegisteredVoters]]</f>
        <v>1.7094017094017096E-2</v>
      </c>
      <c r="M467">
        <f>ABS(Table1[[#This Row],[PartyAVotes]]-Table1[[#This Row],[PartyBVotes]])</f>
        <v>25</v>
      </c>
      <c r="N467" s="11">
        <f>Table1[[#This Row],[TotalVotesCast]]/Table1[[#This Row],[RegisteredVoters]]</f>
        <v>0.98717948717948723</v>
      </c>
      <c r="O467" t="str">
        <f>IF(Table1[[#This Row],[RegisteredVoters]]=Table1[[#This Row],[TotalVotesCast]],"Match","")</f>
        <v/>
      </c>
    </row>
    <row r="468" spans="1:15" ht="13.2">
      <c r="A468" s="1" t="s">
        <v>554</v>
      </c>
      <c r="B468" t="s">
        <v>10</v>
      </c>
      <c r="C468" t="s">
        <v>11</v>
      </c>
      <c r="D468" t="s">
        <v>521</v>
      </c>
      <c r="E468">
        <v>710</v>
      </c>
      <c r="F468">
        <v>345</v>
      </c>
      <c r="G468">
        <v>325</v>
      </c>
      <c r="H468">
        <v>10</v>
      </c>
      <c r="I468">
        <v>680</v>
      </c>
      <c r="J468" s="8">
        <f>Table1[[#This Row],[PartyAVotes]]/Table1[[#This Row],[RegisteredVoters]]</f>
        <v>0.4859154929577465</v>
      </c>
      <c r="K468" s="8">
        <f>Table1[[#This Row],[PartyBVotes]]/Table1[[#This Row],[RegisteredVoters]]</f>
        <v>0.45774647887323944</v>
      </c>
      <c r="L468" s="8">
        <f>Table1[[#This Row],[PartyCVotes]]/Table1[[#This Row],[RegisteredVoters]]</f>
        <v>1.4084507042253521E-2</v>
      </c>
      <c r="M468">
        <f>ABS(Table1[[#This Row],[PartyAVotes]]-Table1[[#This Row],[PartyBVotes]])</f>
        <v>20</v>
      </c>
      <c r="N468" s="11">
        <f>Table1[[#This Row],[TotalVotesCast]]/Table1[[#This Row],[RegisteredVoters]]</f>
        <v>0.95774647887323938</v>
      </c>
      <c r="O468" t="str">
        <f>IF(Table1[[#This Row],[RegisteredVoters]]=Table1[[#This Row],[TotalVotesCast]],"Match","")</f>
        <v/>
      </c>
    </row>
    <row r="469" spans="1:15" ht="13.2">
      <c r="A469" s="1" t="s">
        <v>555</v>
      </c>
      <c r="B469" t="s">
        <v>15</v>
      </c>
      <c r="C469" t="s">
        <v>16</v>
      </c>
      <c r="D469" t="s">
        <v>521</v>
      </c>
      <c r="E469">
        <v>1010</v>
      </c>
      <c r="F469">
        <v>495</v>
      </c>
      <c r="G469">
        <v>475</v>
      </c>
      <c r="H469">
        <v>15</v>
      </c>
      <c r="I469">
        <v>985</v>
      </c>
      <c r="J469" s="8">
        <f>Table1[[#This Row],[PartyAVotes]]/Table1[[#This Row],[RegisteredVoters]]</f>
        <v>0.49009900990099009</v>
      </c>
      <c r="K469" s="8">
        <f>Table1[[#This Row],[PartyBVotes]]/Table1[[#This Row],[RegisteredVoters]]</f>
        <v>0.47029702970297027</v>
      </c>
      <c r="L469" s="8">
        <f>Table1[[#This Row],[PartyCVotes]]/Table1[[#This Row],[RegisteredVoters]]</f>
        <v>1.4851485148514851E-2</v>
      </c>
      <c r="M469">
        <f>ABS(Table1[[#This Row],[PartyAVotes]]-Table1[[#This Row],[PartyBVotes]])</f>
        <v>20</v>
      </c>
      <c r="N469" s="11">
        <f>Table1[[#This Row],[TotalVotesCast]]/Table1[[#This Row],[RegisteredVoters]]</f>
        <v>0.97524752475247523</v>
      </c>
      <c r="O469" t="str">
        <f>IF(Table1[[#This Row],[RegisteredVoters]]=Table1[[#This Row],[TotalVotesCast]],"Match","")</f>
        <v/>
      </c>
    </row>
    <row r="470" spans="1:15" ht="13.2">
      <c r="A470" s="1" t="s">
        <v>556</v>
      </c>
      <c r="B470" t="s">
        <v>18</v>
      </c>
      <c r="C470" t="s">
        <v>20</v>
      </c>
      <c r="D470" t="s">
        <v>557</v>
      </c>
      <c r="E470">
        <v>1100</v>
      </c>
      <c r="F470">
        <v>545</v>
      </c>
      <c r="G470">
        <v>525</v>
      </c>
      <c r="H470">
        <v>15</v>
      </c>
      <c r="I470">
        <v>1085</v>
      </c>
      <c r="J470" s="8">
        <f>Table1[[#This Row],[PartyAVotes]]/Table1[[#This Row],[RegisteredVoters]]</f>
        <v>0.49545454545454548</v>
      </c>
      <c r="K470" s="8">
        <f>Table1[[#This Row],[PartyBVotes]]/Table1[[#This Row],[RegisteredVoters]]</f>
        <v>0.47727272727272729</v>
      </c>
      <c r="L470" s="8">
        <f>Table1[[#This Row],[PartyCVotes]]/Table1[[#This Row],[RegisteredVoters]]</f>
        <v>1.3636363636363636E-2</v>
      </c>
      <c r="M470">
        <f>ABS(Table1[[#This Row],[PartyAVotes]]-Table1[[#This Row],[PartyBVotes]])</f>
        <v>20</v>
      </c>
      <c r="N470" s="11">
        <f>Table1[[#This Row],[TotalVotesCast]]/Table1[[#This Row],[RegisteredVoters]]</f>
        <v>0.98636363636363633</v>
      </c>
      <c r="O470" t="str">
        <f>IF(Table1[[#This Row],[RegisteredVoters]]=Table1[[#This Row],[TotalVotesCast]],"Match","")</f>
        <v/>
      </c>
    </row>
    <row r="471" spans="1:15" ht="13.2">
      <c r="A471" s="1" t="s">
        <v>558</v>
      </c>
      <c r="B471" t="s">
        <v>21</v>
      </c>
      <c r="C471" t="s">
        <v>22</v>
      </c>
      <c r="D471" t="s">
        <v>512</v>
      </c>
      <c r="E471">
        <v>1360</v>
      </c>
      <c r="F471">
        <v>665</v>
      </c>
      <c r="G471">
        <v>635</v>
      </c>
      <c r="H471">
        <v>25</v>
      </c>
      <c r="I471">
        <v>1325</v>
      </c>
      <c r="J471" s="8">
        <f>Table1[[#This Row],[PartyAVotes]]/Table1[[#This Row],[RegisteredVoters]]</f>
        <v>0.4889705882352941</v>
      </c>
      <c r="K471" s="8">
        <f>Table1[[#This Row],[PartyBVotes]]/Table1[[#This Row],[RegisteredVoters]]</f>
        <v>0.46691176470588236</v>
      </c>
      <c r="L471" s="8">
        <f>Table1[[#This Row],[PartyCVotes]]/Table1[[#This Row],[RegisteredVoters]]</f>
        <v>1.8382352941176471E-2</v>
      </c>
      <c r="M471">
        <f>ABS(Table1[[#This Row],[PartyAVotes]]-Table1[[#This Row],[PartyBVotes]])</f>
        <v>30</v>
      </c>
      <c r="N471" s="11">
        <f>Table1[[#This Row],[TotalVotesCast]]/Table1[[#This Row],[RegisteredVoters]]</f>
        <v>0.97426470588235292</v>
      </c>
      <c r="O471" t="str">
        <f>IF(Table1[[#This Row],[RegisteredVoters]]=Table1[[#This Row],[TotalVotesCast]],"Match","")</f>
        <v/>
      </c>
    </row>
    <row r="472" spans="1:15" ht="13.2">
      <c r="A472" s="1" t="s">
        <v>559</v>
      </c>
      <c r="B472" t="s">
        <v>10</v>
      </c>
      <c r="C472" t="s">
        <v>14</v>
      </c>
      <c r="D472" t="s">
        <v>485</v>
      </c>
      <c r="E472">
        <v>800</v>
      </c>
      <c r="F472">
        <v>390</v>
      </c>
      <c r="G472">
        <v>370</v>
      </c>
      <c r="H472">
        <v>15</v>
      </c>
      <c r="I472">
        <v>775</v>
      </c>
      <c r="J472" s="8">
        <f>Table1[[#This Row],[PartyAVotes]]/Table1[[#This Row],[RegisteredVoters]]</f>
        <v>0.48749999999999999</v>
      </c>
      <c r="K472" s="8">
        <f>Table1[[#This Row],[PartyBVotes]]/Table1[[#This Row],[RegisteredVoters]]</f>
        <v>0.46250000000000002</v>
      </c>
      <c r="L472" s="8">
        <f>Table1[[#This Row],[PartyCVotes]]/Table1[[#This Row],[RegisteredVoters]]</f>
        <v>1.8749999999999999E-2</v>
      </c>
      <c r="M472">
        <f>ABS(Table1[[#This Row],[PartyAVotes]]-Table1[[#This Row],[PartyBVotes]])</f>
        <v>20</v>
      </c>
      <c r="N472" s="11">
        <f>Table1[[#This Row],[TotalVotesCast]]/Table1[[#This Row],[RegisteredVoters]]</f>
        <v>0.96875</v>
      </c>
      <c r="O472" t="str">
        <f>IF(Table1[[#This Row],[RegisteredVoters]]=Table1[[#This Row],[TotalVotesCast]],"Match","")</f>
        <v/>
      </c>
    </row>
    <row r="473" spans="1:15" ht="13.2">
      <c r="A473" s="1" t="s">
        <v>560</v>
      </c>
      <c r="B473" t="s">
        <v>15</v>
      </c>
      <c r="C473" t="s">
        <v>17</v>
      </c>
      <c r="D473" t="s">
        <v>471</v>
      </c>
      <c r="E473">
        <v>850</v>
      </c>
      <c r="F473">
        <v>420</v>
      </c>
      <c r="G473">
        <v>400</v>
      </c>
      <c r="H473">
        <v>15</v>
      </c>
      <c r="I473">
        <v>835</v>
      </c>
      <c r="J473" s="8">
        <f>Table1[[#This Row],[PartyAVotes]]/Table1[[#This Row],[RegisteredVoters]]</f>
        <v>0.49411764705882355</v>
      </c>
      <c r="K473" s="8">
        <f>Table1[[#This Row],[PartyBVotes]]/Table1[[#This Row],[RegisteredVoters]]</f>
        <v>0.47058823529411764</v>
      </c>
      <c r="L473" s="8">
        <f>Table1[[#This Row],[PartyCVotes]]/Table1[[#This Row],[RegisteredVoters]]</f>
        <v>1.7647058823529412E-2</v>
      </c>
      <c r="M473">
        <f>ABS(Table1[[#This Row],[PartyAVotes]]-Table1[[#This Row],[PartyBVotes]])</f>
        <v>20</v>
      </c>
      <c r="N473" s="11">
        <f>Table1[[#This Row],[TotalVotesCast]]/Table1[[#This Row],[RegisteredVoters]]</f>
        <v>0.98235294117647054</v>
      </c>
      <c r="O473" t="str">
        <f>IF(Table1[[#This Row],[RegisteredVoters]]=Table1[[#This Row],[TotalVotesCast]],"Match","")</f>
        <v/>
      </c>
    </row>
    <row r="474" spans="1:15" ht="13.2">
      <c r="A474" s="1" t="s">
        <v>561</v>
      </c>
      <c r="B474" t="s">
        <v>18</v>
      </c>
      <c r="C474" t="s">
        <v>19</v>
      </c>
      <c r="D474" t="s">
        <v>494</v>
      </c>
      <c r="E474">
        <v>1120</v>
      </c>
      <c r="F474">
        <v>555</v>
      </c>
      <c r="G474">
        <v>530</v>
      </c>
      <c r="H474">
        <v>20</v>
      </c>
      <c r="I474">
        <v>1105</v>
      </c>
      <c r="J474" s="8">
        <f>Table1[[#This Row],[PartyAVotes]]/Table1[[#This Row],[RegisteredVoters]]</f>
        <v>0.4955357142857143</v>
      </c>
      <c r="K474" s="8">
        <f>Table1[[#This Row],[PartyBVotes]]/Table1[[#This Row],[RegisteredVoters]]</f>
        <v>0.4732142857142857</v>
      </c>
      <c r="L474" s="8">
        <f>Table1[[#This Row],[PartyCVotes]]/Table1[[#This Row],[RegisteredVoters]]</f>
        <v>1.7857142857142856E-2</v>
      </c>
      <c r="M474">
        <f>ABS(Table1[[#This Row],[PartyAVotes]]-Table1[[#This Row],[PartyBVotes]])</f>
        <v>25</v>
      </c>
      <c r="N474" s="11">
        <f>Table1[[#This Row],[TotalVotesCast]]/Table1[[#This Row],[RegisteredVoters]]</f>
        <v>0.9866071428571429</v>
      </c>
      <c r="O474" t="str">
        <f>IF(Table1[[#This Row],[RegisteredVoters]]=Table1[[#This Row],[TotalVotesCast]],"Match","")</f>
        <v/>
      </c>
    </row>
    <row r="475" spans="1:15" ht="13.2">
      <c r="A475" s="1" t="s">
        <v>562</v>
      </c>
      <c r="B475" t="s">
        <v>21</v>
      </c>
      <c r="C475" t="s">
        <v>23</v>
      </c>
      <c r="D475" t="s">
        <v>480</v>
      </c>
      <c r="E475">
        <v>1180</v>
      </c>
      <c r="F475">
        <v>585</v>
      </c>
      <c r="G475">
        <v>560</v>
      </c>
      <c r="H475">
        <v>20</v>
      </c>
      <c r="I475">
        <v>1165</v>
      </c>
      <c r="J475" s="8">
        <f>Table1[[#This Row],[PartyAVotes]]/Table1[[#This Row],[RegisteredVoters]]</f>
        <v>0.49576271186440679</v>
      </c>
      <c r="K475" s="8">
        <f>Table1[[#This Row],[PartyBVotes]]/Table1[[#This Row],[RegisteredVoters]]</f>
        <v>0.47457627118644069</v>
      </c>
      <c r="L475" s="8">
        <f>Table1[[#This Row],[PartyCVotes]]/Table1[[#This Row],[RegisteredVoters]]</f>
        <v>1.6949152542372881E-2</v>
      </c>
      <c r="M475">
        <f>ABS(Table1[[#This Row],[PartyAVotes]]-Table1[[#This Row],[PartyBVotes]])</f>
        <v>25</v>
      </c>
      <c r="N475" s="11">
        <f>Table1[[#This Row],[TotalVotesCast]]/Table1[[#This Row],[RegisteredVoters]]</f>
        <v>0.98728813559322037</v>
      </c>
      <c r="O475" t="str">
        <f>IF(Table1[[#This Row],[RegisteredVoters]]=Table1[[#This Row],[TotalVotesCast]],"Match","")</f>
        <v/>
      </c>
    </row>
    <row r="476" spans="1:15" ht="13.2">
      <c r="A476" s="1" t="s">
        <v>563</v>
      </c>
      <c r="B476" t="s">
        <v>10</v>
      </c>
      <c r="C476" t="s">
        <v>11</v>
      </c>
      <c r="D476" t="s">
        <v>530</v>
      </c>
      <c r="E476">
        <v>720</v>
      </c>
      <c r="F476">
        <v>350</v>
      </c>
      <c r="G476">
        <v>330</v>
      </c>
      <c r="H476">
        <v>10</v>
      </c>
      <c r="I476">
        <v>690</v>
      </c>
      <c r="J476" s="8">
        <f>Table1[[#This Row],[PartyAVotes]]/Table1[[#This Row],[RegisteredVoters]]</f>
        <v>0.4861111111111111</v>
      </c>
      <c r="K476" s="8">
        <f>Table1[[#This Row],[PartyBVotes]]/Table1[[#This Row],[RegisteredVoters]]</f>
        <v>0.45833333333333331</v>
      </c>
      <c r="L476" s="8">
        <f>Table1[[#This Row],[PartyCVotes]]/Table1[[#This Row],[RegisteredVoters]]</f>
        <v>1.3888888888888888E-2</v>
      </c>
      <c r="M476">
        <f>ABS(Table1[[#This Row],[PartyAVotes]]-Table1[[#This Row],[PartyBVotes]])</f>
        <v>20</v>
      </c>
      <c r="N476" s="11">
        <f>Table1[[#This Row],[TotalVotesCast]]/Table1[[#This Row],[RegisteredVoters]]</f>
        <v>0.95833333333333337</v>
      </c>
      <c r="O476" t="str">
        <f>IF(Table1[[#This Row],[RegisteredVoters]]=Table1[[#This Row],[TotalVotesCast]],"Match","")</f>
        <v/>
      </c>
    </row>
    <row r="477" spans="1:15" ht="13.2">
      <c r="A477" s="1" t="s">
        <v>564</v>
      </c>
      <c r="B477" t="s">
        <v>15</v>
      </c>
      <c r="C477" t="s">
        <v>16</v>
      </c>
      <c r="D477" t="s">
        <v>530</v>
      </c>
      <c r="E477">
        <v>1020</v>
      </c>
      <c r="F477">
        <v>500</v>
      </c>
      <c r="G477">
        <v>480</v>
      </c>
      <c r="H477">
        <v>15</v>
      </c>
      <c r="I477">
        <v>995</v>
      </c>
      <c r="J477" s="8">
        <f>Table1[[#This Row],[PartyAVotes]]/Table1[[#This Row],[RegisteredVoters]]</f>
        <v>0.49019607843137253</v>
      </c>
      <c r="K477" s="8">
        <f>Table1[[#This Row],[PartyBVotes]]/Table1[[#This Row],[RegisteredVoters]]</f>
        <v>0.47058823529411764</v>
      </c>
      <c r="L477" s="8">
        <f>Table1[[#This Row],[PartyCVotes]]/Table1[[#This Row],[RegisteredVoters]]</f>
        <v>1.4705882352941176E-2</v>
      </c>
      <c r="M477">
        <f>ABS(Table1[[#This Row],[PartyAVotes]]-Table1[[#This Row],[PartyBVotes]])</f>
        <v>20</v>
      </c>
      <c r="N477" s="11">
        <f>Table1[[#This Row],[TotalVotesCast]]/Table1[[#This Row],[RegisteredVoters]]</f>
        <v>0.97549019607843135</v>
      </c>
      <c r="O477" t="str">
        <f>IF(Table1[[#This Row],[RegisteredVoters]]=Table1[[#This Row],[TotalVotesCast]],"Match","")</f>
        <v/>
      </c>
    </row>
    <row r="478" spans="1:15" ht="13.2">
      <c r="A478" s="1" t="s">
        <v>565</v>
      </c>
      <c r="B478" t="s">
        <v>18</v>
      </c>
      <c r="C478" t="s">
        <v>20</v>
      </c>
      <c r="D478" t="s">
        <v>566</v>
      </c>
      <c r="E478">
        <v>1110</v>
      </c>
      <c r="F478">
        <v>550</v>
      </c>
      <c r="G478">
        <v>530</v>
      </c>
      <c r="H478">
        <v>15</v>
      </c>
      <c r="I478">
        <v>1095</v>
      </c>
      <c r="J478" s="8">
        <f>Table1[[#This Row],[PartyAVotes]]/Table1[[#This Row],[RegisteredVoters]]</f>
        <v>0.49549549549549549</v>
      </c>
      <c r="K478" s="8">
        <f>Table1[[#This Row],[PartyBVotes]]/Table1[[#This Row],[RegisteredVoters]]</f>
        <v>0.47747747747747749</v>
      </c>
      <c r="L478" s="8">
        <f>Table1[[#This Row],[PartyCVotes]]/Table1[[#This Row],[RegisteredVoters]]</f>
        <v>1.3513513513513514E-2</v>
      </c>
      <c r="M478">
        <f>ABS(Table1[[#This Row],[PartyAVotes]]-Table1[[#This Row],[PartyBVotes]])</f>
        <v>20</v>
      </c>
      <c r="N478" s="11">
        <f>Table1[[#This Row],[TotalVotesCast]]/Table1[[#This Row],[RegisteredVoters]]</f>
        <v>0.98648648648648651</v>
      </c>
      <c r="O478" t="str">
        <f>IF(Table1[[#This Row],[RegisteredVoters]]=Table1[[#This Row],[TotalVotesCast]],"Match","")</f>
        <v/>
      </c>
    </row>
    <row r="479" spans="1:15" ht="13.2">
      <c r="A479" s="1" t="s">
        <v>567</v>
      </c>
      <c r="B479" t="s">
        <v>21</v>
      </c>
      <c r="C479" t="s">
        <v>22</v>
      </c>
      <c r="D479" t="s">
        <v>521</v>
      </c>
      <c r="E479">
        <v>1370</v>
      </c>
      <c r="F479">
        <v>670</v>
      </c>
      <c r="G479">
        <v>640</v>
      </c>
      <c r="H479">
        <v>25</v>
      </c>
      <c r="I479">
        <v>1335</v>
      </c>
      <c r="J479" s="8">
        <f>Table1[[#This Row],[PartyAVotes]]/Table1[[#This Row],[RegisteredVoters]]</f>
        <v>0.48905109489051096</v>
      </c>
      <c r="K479" s="8">
        <f>Table1[[#This Row],[PartyBVotes]]/Table1[[#This Row],[RegisteredVoters]]</f>
        <v>0.46715328467153283</v>
      </c>
      <c r="L479" s="8">
        <f>Table1[[#This Row],[PartyCVotes]]/Table1[[#This Row],[RegisteredVoters]]</f>
        <v>1.824817518248175E-2</v>
      </c>
      <c r="M479">
        <f>ABS(Table1[[#This Row],[PartyAVotes]]-Table1[[#This Row],[PartyBVotes]])</f>
        <v>30</v>
      </c>
      <c r="N479" s="11">
        <f>Table1[[#This Row],[TotalVotesCast]]/Table1[[#This Row],[RegisteredVoters]]</f>
        <v>0.97445255474452552</v>
      </c>
      <c r="O479" t="str">
        <f>IF(Table1[[#This Row],[RegisteredVoters]]=Table1[[#This Row],[TotalVotesCast]],"Match","")</f>
        <v/>
      </c>
    </row>
    <row r="480" spans="1:15" ht="13.2">
      <c r="A480" s="1" t="s">
        <v>568</v>
      </c>
      <c r="B480" t="s">
        <v>10</v>
      </c>
      <c r="C480" t="s">
        <v>14</v>
      </c>
      <c r="D480" t="s">
        <v>494</v>
      </c>
      <c r="E480">
        <v>810</v>
      </c>
      <c r="F480">
        <v>395</v>
      </c>
      <c r="G480">
        <v>375</v>
      </c>
      <c r="H480">
        <v>15</v>
      </c>
      <c r="I480">
        <v>785</v>
      </c>
      <c r="J480" s="8">
        <f>Table1[[#This Row],[PartyAVotes]]/Table1[[#This Row],[RegisteredVoters]]</f>
        <v>0.48765432098765432</v>
      </c>
      <c r="K480" s="8">
        <f>Table1[[#This Row],[PartyBVotes]]/Table1[[#This Row],[RegisteredVoters]]</f>
        <v>0.46296296296296297</v>
      </c>
      <c r="L480" s="8">
        <f>Table1[[#This Row],[PartyCVotes]]/Table1[[#This Row],[RegisteredVoters]]</f>
        <v>1.8518518518518517E-2</v>
      </c>
      <c r="M480">
        <f>ABS(Table1[[#This Row],[PartyAVotes]]-Table1[[#This Row],[PartyBVotes]])</f>
        <v>20</v>
      </c>
      <c r="N480" s="11">
        <f>Table1[[#This Row],[TotalVotesCast]]/Table1[[#This Row],[RegisteredVoters]]</f>
        <v>0.96913580246913578</v>
      </c>
      <c r="O480" t="str">
        <f>IF(Table1[[#This Row],[RegisteredVoters]]=Table1[[#This Row],[TotalVotesCast]],"Match","")</f>
        <v/>
      </c>
    </row>
    <row r="481" spans="1:15" ht="13.2">
      <c r="A481" s="1" t="s">
        <v>569</v>
      </c>
      <c r="B481" t="s">
        <v>15</v>
      </c>
      <c r="C481" t="s">
        <v>17</v>
      </c>
      <c r="D481" t="s">
        <v>480</v>
      </c>
      <c r="E481">
        <v>860</v>
      </c>
      <c r="F481">
        <v>425</v>
      </c>
      <c r="G481">
        <v>405</v>
      </c>
      <c r="H481">
        <v>15</v>
      </c>
      <c r="I481">
        <v>845</v>
      </c>
      <c r="J481" s="8">
        <f>Table1[[#This Row],[PartyAVotes]]/Table1[[#This Row],[RegisteredVoters]]</f>
        <v>0.4941860465116279</v>
      </c>
      <c r="K481" s="8">
        <f>Table1[[#This Row],[PartyBVotes]]/Table1[[#This Row],[RegisteredVoters]]</f>
        <v>0.47093023255813954</v>
      </c>
      <c r="L481" s="8">
        <f>Table1[[#This Row],[PartyCVotes]]/Table1[[#This Row],[RegisteredVoters]]</f>
        <v>1.7441860465116279E-2</v>
      </c>
      <c r="M481">
        <f>ABS(Table1[[#This Row],[PartyAVotes]]-Table1[[#This Row],[PartyBVotes]])</f>
        <v>20</v>
      </c>
      <c r="N481" s="11">
        <f>Table1[[#This Row],[TotalVotesCast]]/Table1[[#This Row],[RegisteredVoters]]</f>
        <v>0.98255813953488369</v>
      </c>
      <c r="O481" t="str">
        <f>IF(Table1[[#This Row],[RegisteredVoters]]=Table1[[#This Row],[TotalVotesCast]],"Match","")</f>
        <v/>
      </c>
    </row>
    <row r="482" spans="1:15" ht="13.2">
      <c r="A482" s="1" t="s">
        <v>570</v>
      </c>
      <c r="B482" t="s">
        <v>18</v>
      </c>
      <c r="C482" t="s">
        <v>19</v>
      </c>
      <c r="D482" t="s">
        <v>503</v>
      </c>
      <c r="E482">
        <v>1130</v>
      </c>
      <c r="F482">
        <v>560</v>
      </c>
      <c r="G482">
        <v>535</v>
      </c>
      <c r="H482">
        <v>20</v>
      </c>
      <c r="I482">
        <v>1115</v>
      </c>
      <c r="J482" s="8">
        <f>Table1[[#This Row],[PartyAVotes]]/Table1[[#This Row],[RegisteredVoters]]</f>
        <v>0.49557522123893805</v>
      </c>
      <c r="K482" s="8">
        <f>Table1[[#This Row],[PartyBVotes]]/Table1[[#This Row],[RegisteredVoters]]</f>
        <v>0.47345132743362833</v>
      </c>
      <c r="L482" s="8">
        <f>Table1[[#This Row],[PartyCVotes]]/Table1[[#This Row],[RegisteredVoters]]</f>
        <v>1.7699115044247787E-2</v>
      </c>
      <c r="M482">
        <f>ABS(Table1[[#This Row],[PartyAVotes]]-Table1[[#This Row],[PartyBVotes]])</f>
        <v>25</v>
      </c>
      <c r="N482" s="11">
        <f>Table1[[#This Row],[TotalVotesCast]]/Table1[[#This Row],[RegisteredVoters]]</f>
        <v>0.98672566371681414</v>
      </c>
      <c r="O482" t="str">
        <f>IF(Table1[[#This Row],[RegisteredVoters]]=Table1[[#This Row],[TotalVotesCast]],"Match","")</f>
        <v/>
      </c>
    </row>
    <row r="483" spans="1:15" ht="13.2">
      <c r="A483" s="1" t="s">
        <v>571</v>
      </c>
      <c r="B483" t="s">
        <v>21</v>
      </c>
      <c r="C483" t="s">
        <v>23</v>
      </c>
      <c r="D483" t="s">
        <v>485</v>
      </c>
      <c r="E483">
        <v>1190</v>
      </c>
      <c r="F483">
        <v>590</v>
      </c>
      <c r="G483">
        <v>565</v>
      </c>
      <c r="H483">
        <v>20</v>
      </c>
      <c r="I483">
        <v>1175</v>
      </c>
      <c r="J483" s="8">
        <f>Table1[[#This Row],[PartyAVotes]]/Table1[[#This Row],[RegisteredVoters]]</f>
        <v>0.49579831932773111</v>
      </c>
      <c r="K483" s="8">
        <f>Table1[[#This Row],[PartyBVotes]]/Table1[[#This Row],[RegisteredVoters]]</f>
        <v>0.47478991596638653</v>
      </c>
      <c r="L483" s="8">
        <f>Table1[[#This Row],[PartyCVotes]]/Table1[[#This Row],[RegisteredVoters]]</f>
        <v>1.680672268907563E-2</v>
      </c>
      <c r="M483">
        <f>ABS(Table1[[#This Row],[PartyAVotes]]-Table1[[#This Row],[PartyBVotes]])</f>
        <v>25</v>
      </c>
      <c r="N483" s="11">
        <f>Table1[[#This Row],[TotalVotesCast]]/Table1[[#This Row],[RegisteredVoters]]</f>
        <v>0.98739495798319332</v>
      </c>
      <c r="O483" t="str">
        <f>IF(Table1[[#This Row],[RegisteredVoters]]=Table1[[#This Row],[TotalVotesCast]],"Match","")</f>
        <v/>
      </c>
    </row>
    <row r="484" spans="1:15" ht="13.2">
      <c r="A484" s="1" t="s">
        <v>572</v>
      </c>
      <c r="B484" t="s">
        <v>10</v>
      </c>
      <c r="C484" t="s">
        <v>11</v>
      </c>
      <c r="D484" t="s">
        <v>539</v>
      </c>
      <c r="E484">
        <v>730</v>
      </c>
      <c r="F484">
        <v>355</v>
      </c>
      <c r="G484">
        <v>335</v>
      </c>
      <c r="H484">
        <v>10</v>
      </c>
      <c r="I484">
        <v>700</v>
      </c>
      <c r="J484" s="8">
        <f>Table1[[#This Row],[PartyAVotes]]/Table1[[#This Row],[RegisteredVoters]]</f>
        <v>0.4863013698630137</v>
      </c>
      <c r="K484" s="8">
        <f>Table1[[#This Row],[PartyBVotes]]/Table1[[#This Row],[RegisteredVoters]]</f>
        <v>0.4589041095890411</v>
      </c>
      <c r="L484" s="8">
        <f>Table1[[#This Row],[PartyCVotes]]/Table1[[#This Row],[RegisteredVoters]]</f>
        <v>1.3698630136986301E-2</v>
      </c>
      <c r="M484">
        <f>ABS(Table1[[#This Row],[PartyAVotes]]-Table1[[#This Row],[PartyBVotes]])</f>
        <v>20</v>
      </c>
      <c r="N484" s="11">
        <f>Table1[[#This Row],[TotalVotesCast]]/Table1[[#This Row],[RegisteredVoters]]</f>
        <v>0.95890410958904104</v>
      </c>
      <c r="O484" t="str">
        <f>IF(Table1[[#This Row],[RegisteredVoters]]=Table1[[#This Row],[TotalVotesCast]],"Match","")</f>
        <v/>
      </c>
    </row>
    <row r="485" spans="1:15" ht="13.2">
      <c r="A485" s="1" t="s">
        <v>573</v>
      </c>
      <c r="B485" t="s">
        <v>15</v>
      </c>
      <c r="C485" t="s">
        <v>16</v>
      </c>
      <c r="D485" t="s">
        <v>539</v>
      </c>
      <c r="E485">
        <v>1030</v>
      </c>
      <c r="F485">
        <v>505</v>
      </c>
      <c r="G485">
        <v>485</v>
      </c>
      <c r="H485">
        <v>15</v>
      </c>
      <c r="I485">
        <v>1005</v>
      </c>
      <c r="J485" s="8">
        <f>Table1[[#This Row],[PartyAVotes]]/Table1[[#This Row],[RegisteredVoters]]</f>
        <v>0.49029126213592233</v>
      </c>
      <c r="K485" s="8">
        <f>Table1[[#This Row],[PartyBVotes]]/Table1[[#This Row],[RegisteredVoters]]</f>
        <v>0.470873786407767</v>
      </c>
      <c r="L485" s="8">
        <f>Table1[[#This Row],[PartyCVotes]]/Table1[[#This Row],[RegisteredVoters]]</f>
        <v>1.4563106796116505E-2</v>
      </c>
      <c r="M485">
        <f>ABS(Table1[[#This Row],[PartyAVotes]]-Table1[[#This Row],[PartyBVotes]])</f>
        <v>20</v>
      </c>
      <c r="N485" s="11">
        <f>Table1[[#This Row],[TotalVotesCast]]/Table1[[#This Row],[RegisteredVoters]]</f>
        <v>0.97572815533980584</v>
      </c>
      <c r="O485" t="str">
        <f>IF(Table1[[#This Row],[RegisteredVoters]]=Table1[[#This Row],[TotalVotesCast]],"Match","")</f>
        <v/>
      </c>
    </row>
    <row r="486" spans="1:15" ht="13.2">
      <c r="A486" s="1" t="s">
        <v>574</v>
      </c>
      <c r="B486" t="s">
        <v>18</v>
      </c>
      <c r="C486" t="s">
        <v>20</v>
      </c>
      <c r="D486" t="s">
        <v>575</v>
      </c>
      <c r="E486">
        <v>1120</v>
      </c>
      <c r="F486">
        <v>555</v>
      </c>
      <c r="G486">
        <v>535</v>
      </c>
      <c r="H486">
        <v>15</v>
      </c>
      <c r="I486">
        <v>1105</v>
      </c>
      <c r="J486" s="8">
        <f>Table1[[#This Row],[PartyAVotes]]/Table1[[#This Row],[RegisteredVoters]]</f>
        <v>0.4955357142857143</v>
      </c>
      <c r="K486" s="8">
        <f>Table1[[#This Row],[PartyBVotes]]/Table1[[#This Row],[RegisteredVoters]]</f>
        <v>0.47767857142857145</v>
      </c>
      <c r="L486" s="8">
        <f>Table1[[#This Row],[PartyCVotes]]/Table1[[#This Row],[RegisteredVoters]]</f>
        <v>1.3392857142857142E-2</v>
      </c>
      <c r="M486">
        <f>ABS(Table1[[#This Row],[PartyAVotes]]-Table1[[#This Row],[PartyBVotes]])</f>
        <v>20</v>
      </c>
      <c r="N486" s="11">
        <f>Table1[[#This Row],[TotalVotesCast]]/Table1[[#This Row],[RegisteredVoters]]</f>
        <v>0.9866071428571429</v>
      </c>
      <c r="O486" t="str">
        <f>IF(Table1[[#This Row],[RegisteredVoters]]=Table1[[#This Row],[TotalVotesCast]],"Match","")</f>
        <v/>
      </c>
    </row>
    <row r="487" spans="1:15" ht="13.2">
      <c r="A487" s="1" t="s">
        <v>576</v>
      </c>
      <c r="B487" t="s">
        <v>21</v>
      </c>
      <c r="C487" t="s">
        <v>22</v>
      </c>
      <c r="D487" t="s">
        <v>530</v>
      </c>
      <c r="E487">
        <v>1380</v>
      </c>
      <c r="F487">
        <v>675</v>
      </c>
      <c r="G487">
        <v>645</v>
      </c>
      <c r="H487">
        <v>25</v>
      </c>
      <c r="I487">
        <v>1345</v>
      </c>
      <c r="J487" s="8">
        <f>Table1[[#This Row],[PartyAVotes]]/Table1[[#This Row],[RegisteredVoters]]</f>
        <v>0.4891304347826087</v>
      </c>
      <c r="K487" s="8">
        <f>Table1[[#This Row],[PartyBVotes]]/Table1[[#This Row],[RegisteredVoters]]</f>
        <v>0.46739130434782611</v>
      </c>
      <c r="L487" s="8">
        <f>Table1[[#This Row],[PartyCVotes]]/Table1[[#This Row],[RegisteredVoters]]</f>
        <v>1.8115942028985508E-2</v>
      </c>
      <c r="M487">
        <f>ABS(Table1[[#This Row],[PartyAVotes]]-Table1[[#This Row],[PartyBVotes]])</f>
        <v>30</v>
      </c>
      <c r="N487" s="11">
        <f>Table1[[#This Row],[TotalVotesCast]]/Table1[[#This Row],[RegisteredVoters]]</f>
        <v>0.97463768115942029</v>
      </c>
      <c r="O487" t="str">
        <f>IF(Table1[[#This Row],[RegisteredVoters]]=Table1[[#This Row],[TotalVotesCast]],"Match","")</f>
        <v/>
      </c>
    </row>
    <row r="488" spans="1:15" ht="13.2">
      <c r="A488" s="1" t="s">
        <v>577</v>
      </c>
      <c r="B488" t="s">
        <v>10</v>
      </c>
      <c r="C488" t="s">
        <v>14</v>
      </c>
      <c r="D488" t="s">
        <v>503</v>
      </c>
      <c r="E488">
        <v>820</v>
      </c>
      <c r="F488">
        <v>400</v>
      </c>
      <c r="G488">
        <v>380</v>
      </c>
      <c r="H488">
        <v>15</v>
      </c>
      <c r="I488">
        <v>795</v>
      </c>
      <c r="J488" s="8">
        <f>Table1[[#This Row],[PartyAVotes]]/Table1[[#This Row],[RegisteredVoters]]</f>
        <v>0.48780487804878048</v>
      </c>
      <c r="K488" s="8">
        <f>Table1[[#This Row],[PartyBVotes]]/Table1[[#This Row],[RegisteredVoters]]</f>
        <v>0.46341463414634149</v>
      </c>
      <c r="L488" s="8">
        <f>Table1[[#This Row],[PartyCVotes]]/Table1[[#This Row],[RegisteredVoters]]</f>
        <v>1.8292682926829267E-2</v>
      </c>
      <c r="M488">
        <f>ABS(Table1[[#This Row],[PartyAVotes]]-Table1[[#This Row],[PartyBVotes]])</f>
        <v>20</v>
      </c>
      <c r="N488" s="11">
        <f>Table1[[#This Row],[TotalVotesCast]]/Table1[[#This Row],[RegisteredVoters]]</f>
        <v>0.96951219512195119</v>
      </c>
      <c r="O488" t="str">
        <f>IF(Table1[[#This Row],[RegisteredVoters]]=Table1[[#This Row],[TotalVotesCast]],"Match","")</f>
        <v/>
      </c>
    </row>
    <row r="489" spans="1:15" ht="13.2">
      <c r="A489" s="1" t="s">
        <v>578</v>
      </c>
      <c r="B489" t="s">
        <v>15</v>
      </c>
      <c r="C489" t="s">
        <v>17</v>
      </c>
      <c r="D489" t="s">
        <v>485</v>
      </c>
      <c r="E489">
        <v>870</v>
      </c>
      <c r="F489">
        <v>430</v>
      </c>
      <c r="G489">
        <v>410</v>
      </c>
      <c r="H489">
        <v>15</v>
      </c>
      <c r="I489">
        <v>855</v>
      </c>
      <c r="J489" s="8">
        <f>Table1[[#This Row],[PartyAVotes]]/Table1[[#This Row],[RegisteredVoters]]</f>
        <v>0.4942528735632184</v>
      </c>
      <c r="K489" s="8">
        <f>Table1[[#This Row],[PartyBVotes]]/Table1[[#This Row],[RegisteredVoters]]</f>
        <v>0.47126436781609193</v>
      </c>
      <c r="L489" s="8">
        <f>Table1[[#This Row],[PartyCVotes]]/Table1[[#This Row],[RegisteredVoters]]</f>
        <v>1.7241379310344827E-2</v>
      </c>
      <c r="M489">
        <f>ABS(Table1[[#This Row],[PartyAVotes]]-Table1[[#This Row],[PartyBVotes]])</f>
        <v>20</v>
      </c>
      <c r="N489" s="11">
        <f>Table1[[#This Row],[TotalVotesCast]]/Table1[[#This Row],[RegisteredVoters]]</f>
        <v>0.98275862068965514</v>
      </c>
      <c r="O489" t="str">
        <f>IF(Table1[[#This Row],[RegisteredVoters]]=Table1[[#This Row],[TotalVotesCast]],"Match","")</f>
        <v/>
      </c>
    </row>
    <row r="490" spans="1:15" ht="13.2">
      <c r="A490" s="1" t="s">
        <v>579</v>
      </c>
      <c r="B490" t="s">
        <v>18</v>
      </c>
      <c r="C490" t="s">
        <v>19</v>
      </c>
      <c r="D490" t="s">
        <v>512</v>
      </c>
      <c r="E490">
        <v>1140</v>
      </c>
      <c r="F490">
        <v>565</v>
      </c>
      <c r="G490">
        <v>540</v>
      </c>
      <c r="H490">
        <v>20</v>
      </c>
      <c r="I490">
        <v>1125</v>
      </c>
      <c r="J490" s="8">
        <f>Table1[[#This Row],[PartyAVotes]]/Table1[[#This Row],[RegisteredVoters]]</f>
        <v>0.49561403508771928</v>
      </c>
      <c r="K490" s="8">
        <f>Table1[[#This Row],[PartyBVotes]]/Table1[[#This Row],[RegisteredVoters]]</f>
        <v>0.47368421052631576</v>
      </c>
      <c r="L490" s="8">
        <f>Table1[[#This Row],[PartyCVotes]]/Table1[[#This Row],[RegisteredVoters]]</f>
        <v>1.7543859649122806E-2</v>
      </c>
      <c r="M490">
        <f>ABS(Table1[[#This Row],[PartyAVotes]]-Table1[[#This Row],[PartyBVotes]])</f>
        <v>25</v>
      </c>
      <c r="N490" s="11">
        <f>Table1[[#This Row],[TotalVotesCast]]/Table1[[#This Row],[RegisteredVoters]]</f>
        <v>0.98684210526315785</v>
      </c>
      <c r="O490" t="str">
        <f>IF(Table1[[#This Row],[RegisteredVoters]]=Table1[[#This Row],[TotalVotesCast]],"Match","")</f>
        <v/>
      </c>
    </row>
    <row r="491" spans="1:15" ht="13.2">
      <c r="A491" s="1" t="s">
        <v>580</v>
      </c>
      <c r="B491" t="s">
        <v>21</v>
      </c>
      <c r="C491" t="s">
        <v>23</v>
      </c>
      <c r="D491" t="s">
        <v>494</v>
      </c>
      <c r="E491">
        <v>1200</v>
      </c>
      <c r="F491">
        <v>595</v>
      </c>
      <c r="G491">
        <v>570</v>
      </c>
      <c r="H491">
        <v>20</v>
      </c>
      <c r="I491">
        <v>1185</v>
      </c>
      <c r="J491" s="8">
        <f>Table1[[#This Row],[PartyAVotes]]/Table1[[#This Row],[RegisteredVoters]]</f>
        <v>0.49583333333333335</v>
      </c>
      <c r="K491" s="8">
        <f>Table1[[#This Row],[PartyBVotes]]/Table1[[#This Row],[RegisteredVoters]]</f>
        <v>0.47499999999999998</v>
      </c>
      <c r="L491" s="8">
        <f>Table1[[#This Row],[PartyCVotes]]/Table1[[#This Row],[RegisteredVoters]]</f>
        <v>1.6666666666666666E-2</v>
      </c>
      <c r="M491">
        <f>ABS(Table1[[#This Row],[PartyAVotes]]-Table1[[#This Row],[PartyBVotes]])</f>
        <v>25</v>
      </c>
      <c r="N491" s="11">
        <f>Table1[[#This Row],[TotalVotesCast]]/Table1[[#This Row],[RegisteredVoters]]</f>
        <v>0.98750000000000004</v>
      </c>
      <c r="O491" t="str">
        <f>IF(Table1[[#This Row],[RegisteredVoters]]=Table1[[#This Row],[TotalVotesCast]],"Match","")</f>
        <v/>
      </c>
    </row>
    <row r="492" spans="1:15" ht="13.2">
      <c r="A492" s="1" t="s">
        <v>581</v>
      </c>
      <c r="B492" t="s">
        <v>10</v>
      </c>
      <c r="C492" t="s">
        <v>11</v>
      </c>
      <c r="D492" t="s">
        <v>548</v>
      </c>
      <c r="E492">
        <v>740</v>
      </c>
      <c r="F492">
        <v>360</v>
      </c>
      <c r="G492">
        <v>340</v>
      </c>
      <c r="H492">
        <v>10</v>
      </c>
      <c r="I492">
        <v>710</v>
      </c>
      <c r="J492" s="8">
        <f>Table1[[#This Row],[PartyAVotes]]/Table1[[#This Row],[RegisteredVoters]]</f>
        <v>0.48648648648648651</v>
      </c>
      <c r="K492" s="8">
        <f>Table1[[#This Row],[PartyBVotes]]/Table1[[#This Row],[RegisteredVoters]]</f>
        <v>0.45945945945945948</v>
      </c>
      <c r="L492" s="8">
        <f>Table1[[#This Row],[PartyCVotes]]/Table1[[#This Row],[RegisteredVoters]]</f>
        <v>1.3513513513513514E-2</v>
      </c>
      <c r="M492">
        <f>ABS(Table1[[#This Row],[PartyAVotes]]-Table1[[#This Row],[PartyBVotes]])</f>
        <v>20</v>
      </c>
      <c r="N492" s="11">
        <f>Table1[[#This Row],[TotalVotesCast]]/Table1[[#This Row],[RegisteredVoters]]</f>
        <v>0.95945945945945943</v>
      </c>
      <c r="O492" t="str">
        <f>IF(Table1[[#This Row],[RegisteredVoters]]=Table1[[#This Row],[TotalVotesCast]],"Match","")</f>
        <v/>
      </c>
    </row>
    <row r="493" spans="1:15" ht="13.2">
      <c r="A493" s="1" t="s">
        <v>582</v>
      </c>
      <c r="B493" t="s">
        <v>15</v>
      </c>
      <c r="C493" t="s">
        <v>16</v>
      </c>
      <c r="D493" t="s">
        <v>548</v>
      </c>
      <c r="E493">
        <v>1040</v>
      </c>
      <c r="F493">
        <v>510</v>
      </c>
      <c r="G493">
        <v>490</v>
      </c>
      <c r="H493">
        <v>15</v>
      </c>
      <c r="I493">
        <v>1015</v>
      </c>
      <c r="J493" s="8">
        <f>Table1[[#This Row],[PartyAVotes]]/Table1[[#This Row],[RegisteredVoters]]</f>
        <v>0.49038461538461536</v>
      </c>
      <c r="K493" s="8">
        <f>Table1[[#This Row],[PartyBVotes]]/Table1[[#This Row],[RegisteredVoters]]</f>
        <v>0.47115384615384615</v>
      </c>
      <c r="L493" s="8">
        <f>Table1[[#This Row],[PartyCVotes]]/Table1[[#This Row],[RegisteredVoters]]</f>
        <v>1.4423076923076924E-2</v>
      </c>
      <c r="M493">
        <f>ABS(Table1[[#This Row],[PartyAVotes]]-Table1[[#This Row],[PartyBVotes]])</f>
        <v>20</v>
      </c>
      <c r="N493" s="11">
        <f>Table1[[#This Row],[TotalVotesCast]]/Table1[[#This Row],[RegisteredVoters]]</f>
        <v>0.97596153846153844</v>
      </c>
      <c r="O493" t="str">
        <f>IF(Table1[[#This Row],[RegisteredVoters]]=Table1[[#This Row],[TotalVotesCast]],"Match","")</f>
        <v/>
      </c>
    </row>
    <row r="494" spans="1:15" ht="13.2">
      <c r="A494" s="1" t="s">
        <v>583</v>
      </c>
      <c r="B494" t="s">
        <v>18</v>
      </c>
      <c r="C494" t="s">
        <v>20</v>
      </c>
      <c r="D494" t="s">
        <v>584</v>
      </c>
      <c r="E494">
        <v>1130</v>
      </c>
      <c r="F494">
        <v>560</v>
      </c>
      <c r="G494">
        <v>540</v>
      </c>
      <c r="H494">
        <v>15</v>
      </c>
      <c r="I494">
        <v>1115</v>
      </c>
      <c r="J494" s="8">
        <f>Table1[[#This Row],[PartyAVotes]]/Table1[[#This Row],[RegisteredVoters]]</f>
        <v>0.49557522123893805</v>
      </c>
      <c r="K494" s="8">
        <f>Table1[[#This Row],[PartyBVotes]]/Table1[[#This Row],[RegisteredVoters]]</f>
        <v>0.47787610619469029</v>
      </c>
      <c r="L494" s="8">
        <f>Table1[[#This Row],[PartyCVotes]]/Table1[[#This Row],[RegisteredVoters]]</f>
        <v>1.3274336283185841E-2</v>
      </c>
      <c r="M494">
        <f>ABS(Table1[[#This Row],[PartyAVotes]]-Table1[[#This Row],[PartyBVotes]])</f>
        <v>20</v>
      </c>
      <c r="N494" s="11">
        <f>Table1[[#This Row],[TotalVotesCast]]/Table1[[#This Row],[RegisteredVoters]]</f>
        <v>0.98672566371681414</v>
      </c>
      <c r="O494" t="str">
        <f>IF(Table1[[#This Row],[RegisteredVoters]]=Table1[[#This Row],[TotalVotesCast]],"Match","")</f>
        <v/>
      </c>
    </row>
    <row r="495" spans="1:15" ht="13.2">
      <c r="A495" s="1" t="s">
        <v>585</v>
      </c>
      <c r="B495" t="s">
        <v>21</v>
      </c>
      <c r="C495" t="s">
        <v>22</v>
      </c>
      <c r="D495" t="s">
        <v>539</v>
      </c>
      <c r="E495">
        <v>1390</v>
      </c>
      <c r="F495">
        <v>680</v>
      </c>
      <c r="G495">
        <v>650</v>
      </c>
      <c r="H495">
        <v>25</v>
      </c>
      <c r="I495">
        <v>1355</v>
      </c>
      <c r="J495" s="8">
        <f>Table1[[#This Row],[PartyAVotes]]/Table1[[#This Row],[RegisteredVoters]]</f>
        <v>0.48920863309352519</v>
      </c>
      <c r="K495" s="8">
        <f>Table1[[#This Row],[PartyBVotes]]/Table1[[#This Row],[RegisteredVoters]]</f>
        <v>0.46762589928057552</v>
      </c>
      <c r="L495" s="8">
        <f>Table1[[#This Row],[PartyCVotes]]/Table1[[#This Row],[RegisteredVoters]]</f>
        <v>1.7985611510791366E-2</v>
      </c>
      <c r="M495">
        <f>ABS(Table1[[#This Row],[PartyAVotes]]-Table1[[#This Row],[PartyBVotes]])</f>
        <v>30</v>
      </c>
      <c r="N495" s="11">
        <f>Table1[[#This Row],[TotalVotesCast]]/Table1[[#This Row],[RegisteredVoters]]</f>
        <v>0.97482014388489213</v>
      </c>
      <c r="O495" t="str">
        <f>IF(Table1[[#This Row],[RegisteredVoters]]=Table1[[#This Row],[TotalVotesCast]],"Match","")</f>
        <v/>
      </c>
    </row>
    <row r="496" spans="1:15" ht="13.2">
      <c r="A496" s="1" t="s">
        <v>586</v>
      </c>
      <c r="B496" t="s">
        <v>10</v>
      </c>
      <c r="C496" t="s">
        <v>14</v>
      </c>
      <c r="D496" t="s">
        <v>512</v>
      </c>
      <c r="E496">
        <v>830</v>
      </c>
      <c r="F496">
        <v>405</v>
      </c>
      <c r="G496">
        <v>385</v>
      </c>
      <c r="H496">
        <v>15</v>
      </c>
      <c r="I496">
        <v>805</v>
      </c>
      <c r="J496" s="8">
        <f>Table1[[#This Row],[PartyAVotes]]/Table1[[#This Row],[RegisteredVoters]]</f>
        <v>0.48795180722891568</v>
      </c>
      <c r="K496" s="8">
        <f>Table1[[#This Row],[PartyBVotes]]/Table1[[#This Row],[RegisteredVoters]]</f>
        <v>0.46385542168674698</v>
      </c>
      <c r="L496" s="8">
        <f>Table1[[#This Row],[PartyCVotes]]/Table1[[#This Row],[RegisteredVoters]]</f>
        <v>1.8072289156626505E-2</v>
      </c>
      <c r="M496">
        <f>ABS(Table1[[#This Row],[PartyAVotes]]-Table1[[#This Row],[PartyBVotes]])</f>
        <v>20</v>
      </c>
      <c r="N496" s="11">
        <f>Table1[[#This Row],[TotalVotesCast]]/Table1[[#This Row],[RegisteredVoters]]</f>
        <v>0.96987951807228912</v>
      </c>
      <c r="O496" t="str">
        <f>IF(Table1[[#This Row],[RegisteredVoters]]=Table1[[#This Row],[TotalVotesCast]],"Match","")</f>
        <v/>
      </c>
    </row>
    <row r="497" spans="1:15" ht="13.2">
      <c r="A497" s="1" t="s">
        <v>587</v>
      </c>
      <c r="B497" t="s">
        <v>15</v>
      </c>
      <c r="C497" t="s">
        <v>17</v>
      </c>
      <c r="D497" t="s">
        <v>494</v>
      </c>
      <c r="E497">
        <v>880</v>
      </c>
      <c r="F497">
        <v>435</v>
      </c>
      <c r="G497">
        <v>415</v>
      </c>
      <c r="H497">
        <v>15</v>
      </c>
      <c r="I497">
        <v>865</v>
      </c>
      <c r="J497" s="8">
        <f>Table1[[#This Row],[PartyAVotes]]/Table1[[#This Row],[RegisteredVoters]]</f>
        <v>0.49431818181818182</v>
      </c>
      <c r="K497" s="8">
        <f>Table1[[#This Row],[PartyBVotes]]/Table1[[#This Row],[RegisteredVoters]]</f>
        <v>0.47159090909090912</v>
      </c>
      <c r="L497" s="8">
        <f>Table1[[#This Row],[PartyCVotes]]/Table1[[#This Row],[RegisteredVoters]]</f>
        <v>1.7045454545454544E-2</v>
      </c>
      <c r="M497">
        <f>ABS(Table1[[#This Row],[PartyAVotes]]-Table1[[#This Row],[PartyBVotes]])</f>
        <v>20</v>
      </c>
      <c r="N497" s="11">
        <f>Table1[[#This Row],[TotalVotesCast]]/Table1[[#This Row],[RegisteredVoters]]</f>
        <v>0.98295454545454541</v>
      </c>
      <c r="O497" t="str">
        <f>IF(Table1[[#This Row],[RegisteredVoters]]=Table1[[#This Row],[TotalVotesCast]],"Match","")</f>
        <v/>
      </c>
    </row>
    <row r="498" spans="1:15" ht="13.2">
      <c r="A498" s="1" t="s">
        <v>588</v>
      </c>
      <c r="B498" t="s">
        <v>18</v>
      </c>
      <c r="C498" t="s">
        <v>19</v>
      </c>
      <c r="D498" t="s">
        <v>521</v>
      </c>
      <c r="E498">
        <v>1150</v>
      </c>
      <c r="F498">
        <v>570</v>
      </c>
      <c r="G498">
        <v>545</v>
      </c>
      <c r="H498">
        <v>20</v>
      </c>
      <c r="I498">
        <v>1135</v>
      </c>
      <c r="J498" s="8">
        <f>Table1[[#This Row],[PartyAVotes]]/Table1[[#This Row],[RegisteredVoters]]</f>
        <v>0.4956521739130435</v>
      </c>
      <c r="K498" s="8">
        <f>Table1[[#This Row],[PartyBVotes]]/Table1[[#This Row],[RegisteredVoters]]</f>
        <v>0.47391304347826085</v>
      </c>
      <c r="L498" s="8">
        <f>Table1[[#This Row],[PartyCVotes]]/Table1[[#This Row],[RegisteredVoters]]</f>
        <v>1.7391304347826087E-2</v>
      </c>
      <c r="M498">
        <f>ABS(Table1[[#This Row],[PartyAVotes]]-Table1[[#This Row],[PartyBVotes]])</f>
        <v>25</v>
      </c>
      <c r="N498" s="11">
        <f>Table1[[#This Row],[TotalVotesCast]]/Table1[[#This Row],[RegisteredVoters]]</f>
        <v>0.9869565217391304</v>
      </c>
      <c r="O498" t="str">
        <f>IF(Table1[[#This Row],[RegisteredVoters]]=Table1[[#This Row],[TotalVotesCast]],"Match","")</f>
        <v/>
      </c>
    </row>
    <row r="499" spans="1:15" ht="13.2">
      <c r="A499" s="1" t="s">
        <v>589</v>
      </c>
      <c r="B499" t="s">
        <v>21</v>
      </c>
      <c r="C499" t="s">
        <v>23</v>
      </c>
      <c r="D499" t="s">
        <v>503</v>
      </c>
      <c r="E499">
        <v>1210</v>
      </c>
      <c r="F499">
        <v>600</v>
      </c>
      <c r="G499">
        <v>575</v>
      </c>
      <c r="H499">
        <v>20</v>
      </c>
      <c r="I499">
        <v>1195</v>
      </c>
      <c r="J499" s="8">
        <f>Table1[[#This Row],[PartyAVotes]]/Table1[[#This Row],[RegisteredVoters]]</f>
        <v>0.49586776859504134</v>
      </c>
      <c r="K499" s="8">
        <f>Table1[[#This Row],[PartyBVotes]]/Table1[[#This Row],[RegisteredVoters]]</f>
        <v>0.47520661157024796</v>
      </c>
      <c r="L499" s="8">
        <f>Table1[[#This Row],[PartyCVotes]]/Table1[[#This Row],[RegisteredVoters]]</f>
        <v>1.6528925619834711E-2</v>
      </c>
      <c r="M499">
        <f>ABS(Table1[[#This Row],[PartyAVotes]]-Table1[[#This Row],[PartyBVotes]])</f>
        <v>25</v>
      </c>
      <c r="N499" s="11">
        <f>Table1[[#This Row],[TotalVotesCast]]/Table1[[#This Row],[RegisteredVoters]]</f>
        <v>0.98760330578512401</v>
      </c>
      <c r="O499" t="str">
        <f>IF(Table1[[#This Row],[RegisteredVoters]]=Table1[[#This Row],[TotalVotesCast]],"Match","")</f>
        <v/>
      </c>
    </row>
    <row r="500" spans="1:15" ht="13.2">
      <c r="A500" s="1" t="s">
        <v>590</v>
      </c>
      <c r="B500" t="s">
        <v>10</v>
      </c>
      <c r="C500" t="s">
        <v>11</v>
      </c>
      <c r="D500" t="s">
        <v>557</v>
      </c>
      <c r="E500">
        <v>750</v>
      </c>
      <c r="F500">
        <v>365</v>
      </c>
      <c r="G500">
        <v>345</v>
      </c>
      <c r="H500">
        <v>10</v>
      </c>
      <c r="I500">
        <v>720</v>
      </c>
      <c r="J500" s="8">
        <f>Table1[[#This Row],[PartyAVotes]]/Table1[[#This Row],[RegisteredVoters]]</f>
        <v>0.48666666666666669</v>
      </c>
      <c r="K500" s="8">
        <f>Table1[[#This Row],[PartyBVotes]]/Table1[[#This Row],[RegisteredVoters]]</f>
        <v>0.46</v>
      </c>
      <c r="L500" s="8">
        <f>Table1[[#This Row],[PartyCVotes]]/Table1[[#This Row],[RegisteredVoters]]</f>
        <v>1.3333333333333334E-2</v>
      </c>
      <c r="M500">
        <f>ABS(Table1[[#This Row],[PartyAVotes]]-Table1[[#This Row],[PartyBVotes]])</f>
        <v>20</v>
      </c>
      <c r="N500" s="11">
        <f>Table1[[#This Row],[TotalVotesCast]]/Table1[[#This Row],[RegisteredVoters]]</f>
        <v>0.96</v>
      </c>
      <c r="O500" t="str">
        <f>IF(Table1[[#This Row],[RegisteredVoters]]=Table1[[#This Row],[TotalVotesCast]],"Match","")</f>
        <v/>
      </c>
    </row>
    <row r="501" spans="1:15" ht="13.2">
      <c r="A501" s="1" t="s">
        <v>591</v>
      </c>
      <c r="B501" t="s">
        <v>15</v>
      </c>
      <c r="C501" t="s">
        <v>16</v>
      </c>
      <c r="D501" t="s">
        <v>557</v>
      </c>
      <c r="E501">
        <v>1050</v>
      </c>
      <c r="F501">
        <v>515</v>
      </c>
      <c r="G501">
        <v>495</v>
      </c>
      <c r="H501">
        <v>15</v>
      </c>
      <c r="I501">
        <v>1025</v>
      </c>
      <c r="J501" s="8">
        <f>Table1[[#This Row],[PartyAVotes]]/Table1[[#This Row],[RegisteredVoters]]</f>
        <v>0.49047619047619045</v>
      </c>
      <c r="K501" s="8">
        <f>Table1[[#This Row],[PartyBVotes]]/Table1[[#This Row],[RegisteredVoters]]</f>
        <v>0.47142857142857142</v>
      </c>
      <c r="L501" s="8">
        <f>Table1[[#This Row],[PartyCVotes]]/Table1[[#This Row],[RegisteredVoters]]</f>
        <v>1.4285714285714285E-2</v>
      </c>
      <c r="M501">
        <f>ABS(Table1[[#This Row],[PartyAVotes]]-Table1[[#This Row],[PartyBVotes]])</f>
        <v>20</v>
      </c>
      <c r="N501" s="11">
        <f>Table1[[#This Row],[TotalVotesCast]]/Table1[[#This Row],[RegisteredVoters]]</f>
        <v>0.97619047619047616</v>
      </c>
      <c r="O501" t="str">
        <f>IF(Table1[[#This Row],[RegisteredVoters]]=Table1[[#This Row],[TotalVotesCast]],"Match","")</f>
        <v/>
      </c>
    </row>
    <row r="502" spans="1:15" ht="13.2">
      <c r="A502" s="1" t="s">
        <v>592</v>
      </c>
      <c r="B502" t="s">
        <v>18</v>
      </c>
      <c r="C502" t="s">
        <v>20</v>
      </c>
      <c r="D502" t="s">
        <v>593</v>
      </c>
      <c r="E502">
        <v>1140</v>
      </c>
      <c r="F502">
        <v>565</v>
      </c>
      <c r="G502">
        <v>545</v>
      </c>
      <c r="H502">
        <v>15</v>
      </c>
      <c r="I502">
        <v>1125</v>
      </c>
      <c r="J502" s="8">
        <f>Table1[[#This Row],[PartyAVotes]]/Table1[[#This Row],[RegisteredVoters]]</f>
        <v>0.49561403508771928</v>
      </c>
      <c r="K502" s="8">
        <f>Table1[[#This Row],[PartyBVotes]]/Table1[[#This Row],[RegisteredVoters]]</f>
        <v>0.47807017543859648</v>
      </c>
      <c r="L502" s="8">
        <f>Table1[[#This Row],[PartyCVotes]]/Table1[[#This Row],[RegisteredVoters]]</f>
        <v>1.3157894736842105E-2</v>
      </c>
      <c r="M502">
        <f>ABS(Table1[[#This Row],[PartyAVotes]]-Table1[[#This Row],[PartyBVotes]])</f>
        <v>20</v>
      </c>
      <c r="N502" s="11">
        <f>Table1[[#This Row],[TotalVotesCast]]/Table1[[#This Row],[RegisteredVoters]]</f>
        <v>0.98684210526315785</v>
      </c>
      <c r="O502" t="str">
        <f>IF(Table1[[#This Row],[RegisteredVoters]]=Table1[[#This Row],[TotalVotesCast]],"Match","")</f>
        <v/>
      </c>
    </row>
    <row r="503" spans="1:15" ht="13.2">
      <c r="A503" s="1" t="s">
        <v>594</v>
      </c>
      <c r="B503" t="s">
        <v>21</v>
      </c>
      <c r="C503" t="s">
        <v>22</v>
      </c>
      <c r="D503" t="s">
        <v>548</v>
      </c>
      <c r="E503">
        <v>1400</v>
      </c>
      <c r="F503">
        <v>685</v>
      </c>
      <c r="G503">
        <v>655</v>
      </c>
      <c r="H503">
        <v>25</v>
      </c>
      <c r="I503">
        <v>1365</v>
      </c>
      <c r="J503" s="8">
        <f>Table1[[#This Row],[PartyAVotes]]/Table1[[#This Row],[RegisteredVoters]]</f>
        <v>0.48928571428571427</v>
      </c>
      <c r="K503" s="8">
        <f>Table1[[#This Row],[PartyBVotes]]/Table1[[#This Row],[RegisteredVoters]]</f>
        <v>0.46785714285714286</v>
      </c>
      <c r="L503" s="8">
        <f>Table1[[#This Row],[PartyCVotes]]/Table1[[#This Row],[RegisteredVoters]]</f>
        <v>1.7857142857142856E-2</v>
      </c>
      <c r="M503">
        <f>ABS(Table1[[#This Row],[PartyAVotes]]-Table1[[#This Row],[PartyBVotes]])</f>
        <v>30</v>
      </c>
      <c r="N503" s="11">
        <f>Table1[[#This Row],[TotalVotesCast]]/Table1[[#This Row],[RegisteredVoters]]</f>
        <v>0.97499999999999998</v>
      </c>
      <c r="O503" t="str">
        <f>IF(Table1[[#This Row],[RegisteredVoters]]=Table1[[#This Row],[TotalVotesCast]],"Match","")</f>
        <v/>
      </c>
    </row>
    <row r="504" spans="1:15" ht="13.2">
      <c r="A504" s="1" t="s">
        <v>595</v>
      </c>
      <c r="B504" t="s">
        <v>10</v>
      </c>
      <c r="C504" t="s">
        <v>11</v>
      </c>
      <c r="D504" t="s">
        <v>566</v>
      </c>
      <c r="E504">
        <v>500</v>
      </c>
      <c r="F504">
        <v>240</v>
      </c>
      <c r="G504">
        <v>220</v>
      </c>
      <c r="H504">
        <v>10</v>
      </c>
      <c r="I504">
        <v>470</v>
      </c>
      <c r="J504" s="8">
        <f>Table1[[#This Row],[PartyAVotes]]/Table1[[#This Row],[RegisteredVoters]]</f>
        <v>0.48</v>
      </c>
      <c r="K504" s="8">
        <f>Table1[[#This Row],[PartyBVotes]]/Table1[[#This Row],[RegisteredVoters]]</f>
        <v>0.44</v>
      </c>
      <c r="L504" s="8">
        <f>Table1[[#This Row],[PartyCVotes]]/Table1[[#This Row],[RegisteredVoters]]</f>
        <v>0.02</v>
      </c>
      <c r="M504">
        <f>ABS(Table1[[#This Row],[PartyAVotes]]-Table1[[#This Row],[PartyBVotes]])</f>
        <v>20</v>
      </c>
      <c r="N504" s="11">
        <f>Table1[[#This Row],[TotalVotesCast]]/Table1[[#This Row],[RegisteredVoters]]</f>
        <v>0.94</v>
      </c>
      <c r="O504" t="str">
        <f>IF(Table1[[#This Row],[RegisteredVoters]]=Table1[[#This Row],[TotalVotesCast]],"Match","")</f>
        <v/>
      </c>
    </row>
    <row r="505" spans="1:15" ht="13.2">
      <c r="A505" s="1" t="s">
        <v>596</v>
      </c>
      <c r="B505" t="s">
        <v>15</v>
      </c>
      <c r="C505" t="s">
        <v>16</v>
      </c>
      <c r="D505" t="s">
        <v>566</v>
      </c>
      <c r="E505">
        <v>800</v>
      </c>
      <c r="F505">
        <v>390</v>
      </c>
      <c r="G505">
        <v>370</v>
      </c>
      <c r="H505">
        <v>15</v>
      </c>
      <c r="I505">
        <v>775</v>
      </c>
      <c r="J505" s="8">
        <f>Table1[[#This Row],[PartyAVotes]]/Table1[[#This Row],[RegisteredVoters]]</f>
        <v>0.48749999999999999</v>
      </c>
      <c r="K505" s="8">
        <f>Table1[[#This Row],[PartyBVotes]]/Table1[[#This Row],[RegisteredVoters]]</f>
        <v>0.46250000000000002</v>
      </c>
      <c r="L505" s="8">
        <f>Table1[[#This Row],[PartyCVotes]]/Table1[[#This Row],[RegisteredVoters]]</f>
        <v>1.8749999999999999E-2</v>
      </c>
      <c r="M505">
        <f>ABS(Table1[[#This Row],[PartyAVotes]]-Table1[[#This Row],[PartyBVotes]])</f>
        <v>20</v>
      </c>
      <c r="N505" s="11">
        <f>Table1[[#This Row],[TotalVotesCast]]/Table1[[#This Row],[RegisteredVoters]]</f>
        <v>0.96875</v>
      </c>
      <c r="O505" t="str">
        <f>IF(Table1[[#This Row],[RegisteredVoters]]=Table1[[#This Row],[TotalVotesCast]],"Match","")</f>
        <v/>
      </c>
    </row>
    <row r="506" spans="1:15" ht="13.2">
      <c r="A506" s="1" t="s">
        <v>597</v>
      </c>
      <c r="B506" t="s">
        <v>18</v>
      </c>
      <c r="C506" t="s">
        <v>20</v>
      </c>
      <c r="D506" t="s">
        <v>598</v>
      </c>
      <c r="E506">
        <v>890</v>
      </c>
      <c r="F506">
        <v>440</v>
      </c>
      <c r="G506">
        <v>420</v>
      </c>
      <c r="H506">
        <v>15</v>
      </c>
      <c r="I506">
        <v>875</v>
      </c>
      <c r="J506" s="8">
        <f>Table1[[#This Row],[PartyAVotes]]/Table1[[#This Row],[RegisteredVoters]]</f>
        <v>0.4943820224719101</v>
      </c>
      <c r="K506" s="8">
        <f>Table1[[#This Row],[PartyBVotes]]/Table1[[#This Row],[RegisteredVoters]]</f>
        <v>0.47191011235955055</v>
      </c>
      <c r="L506" s="8">
        <f>Table1[[#This Row],[PartyCVotes]]/Table1[[#This Row],[RegisteredVoters]]</f>
        <v>1.6853932584269662E-2</v>
      </c>
      <c r="M506">
        <f>ABS(Table1[[#This Row],[PartyAVotes]]-Table1[[#This Row],[PartyBVotes]])</f>
        <v>20</v>
      </c>
      <c r="N506" s="11">
        <f>Table1[[#This Row],[TotalVotesCast]]/Table1[[#This Row],[RegisteredVoters]]</f>
        <v>0.9831460674157303</v>
      </c>
      <c r="O506" t="str">
        <f>IF(Table1[[#This Row],[RegisteredVoters]]=Table1[[#This Row],[TotalVotesCast]],"Match","")</f>
        <v/>
      </c>
    </row>
    <row r="507" spans="1:15" ht="13.2">
      <c r="A507" s="1" t="s">
        <v>599</v>
      </c>
      <c r="B507" t="s">
        <v>21</v>
      </c>
      <c r="C507" t="s">
        <v>22</v>
      </c>
      <c r="D507" t="s">
        <v>557</v>
      </c>
      <c r="E507">
        <v>1150</v>
      </c>
      <c r="F507">
        <v>560</v>
      </c>
      <c r="G507">
        <v>530</v>
      </c>
      <c r="H507">
        <v>25</v>
      </c>
      <c r="I507">
        <v>1115</v>
      </c>
      <c r="J507" s="8">
        <f>Table1[[#This Row],[PartyAVotes]]/Table1[[#This Row],[RegisteredVoters]]</f>
        <v>0.48695652173913045</v>
      </c>
      <c r="K507" s="8">
        <f>Table1[[#This Row],[PartyBVotes]]/Table1[[#This Row],[RegisteredVoters]]</f>
        <v>0.46086956521739131</v>
      </c>
      <c r="L507" s="8">
        <f>Table1[[#This Row],[PartyCVotes]]/Table1[[#This Row],[RegisteredVoters]]</f>
        <v>2.1739130434782608E-2</v>
      </c>
      <c r="M507">
        <f>ABS(Table1[[#This Row],[PartyAVotes]]-Table1[[#This Row],[PartyBVotes]])</f>
        <v>30</v>
      </c>
      <c r="N507" s="11">
        <f>Table1[[#This Row],[TotalVotesCast]]/Table1[[#This Row],[RegisteredVoters]]</f>
        <v>0.9695652173913043</v>
      </c>
      <c r="O507" t="str">
        <f>IF(Table1[[#This Row],[RegisteredVoters]]=Table1[[#This Row],[TotalVotesCast]],"Match","")</f>
        <v/>
      </c>
    </row>
    <row r="508" spans="1:15" ht="13.2">
      <c r="A508" s="1" t="s">
        <v>600</v>
      </c>
      <c r="B508" t="s">
        <v>10</v>
      </c>
      <c r="C508" t="s">
        <v>14</v>
      </c>
      <c r="D508" t="s">
        <v>521</v>
      </c>
      <c r="E508">
        <v>600</v>
      </c>
      <c r="F508">
        <v>290</v>
      </c>
      <c r="G508">
        <v>270</v>
      </c>
      <c r="H508">
        <v>15</v>
      </c>
      <c r="I508">
        <v>575</v>
      </c>
      <c r="J508" s="8">
        <f>Table1[[#This Row],[PartyAVotes]]/Table1[[#This Row],[RegisteredVoters]]</f>
        <v>0.48333333333333334</v>
      </c>
      <c r="K508" s="8">
        <f>Table1[[#This Row],[PartyBVotes]]/Table1[[#This Row],[RegisteredVoters]]</f>
        <v>0.45</v>
      </c>
      <c r="L508" s="8">
        <f>Table1[[#This Row],[PartyCVotes]]/Table1[[#This Row],[RegisteredVoters]]</f>
        <v>2.5000000000000001E-2</v>
      </c>
      <c r="M508">
        <f>ABS(Table1[[#This Row],[PartyAVotes]]-Table1[[#This Row],[PartyBVotes]])</f>
        <v>20</v>
      </c>
      <c r="N508" s="11">
        <f>Table1[[#This Row],[TotalVotesCast]]/Table1[[#This Row],[RegisteredVoters]]</f>
        <v>0.95833333333333337</v>
      </c>
      <c r="O508" t="str">
        <f>IF(Table1[[#This Row],[RegisteredVoters]]=Table1[[#This Row],[TotalVotesCast]],"Match","")</f>
        <v/>
      </c>
    </row>
    <row r="509" spans="1:15" ht="13.2">
      <c r="A509" s="1" t="s">
        <v>601</v>
      </c>
      <c r="B509" t="s">
        <v>15</v>
      </c>
      <c r="C509" t="s">
        <v>17</v>
      </c>
      <c r="D509" t="s">
        <v>503</v>
      </c>
      <c r="E509">
        <v>650</v>
      </c>
      <c r="F509">
        <v>320</v>
      </c>
      <c r="G509">
        <v>300</v>
      </c>
      <c r="H509">
        <v>15</v>
      </c>
      <c r="I509">
        <v>635</v>
      </c>
      <c r="J509" s="8">
        <f>Table1[[#This Row],[PartyAVotes]]/Table1[[#This Row],[RegisteredVoters]]</f>
        <v>0.49230769230769234</v>
      </c>
      <c r="K509" s="8">
        <f>Table1[[#This Row],[PartyBVotes]]/Table1[[#This Row],[RegisteredVoters]]</f>
        <v>0.46153846153846156</v>
      </c>
      <c r="L509" s="8">
        <f>Table1[[#This Row],[PartyCVotes]]/Table1[[#This Row],[RegisteredVoters]]</f>
        <v>2.3076923076923078E-2</v>
      </c>
      <c r="M509">
        <f>ABS(Table1[[#This Row],[PartyAVotes]]-Table1[[#This Row],[PartyBVotes]])</f>
        <v>20</v>
      </c>
      <c r="N509" s="11">
        <f>Table1[[#This Row],[TotalVotesCast]]/Table1[[#This Row],[RegisteredVoters]]</f>
        <v>0.97692307692307689</v>
      </c>
      <c r="O509" t="str">
        <f>IF(Table1[[#This Row],[RegisteredVoters]]=Table1[[#This Row],[TotalVotesCast]],"Match","")</f>
        <v/>
      </c>
    </row>
    <row r="510" spans="1:15" ht="13.2">
      <c r="A510" s="1" t="s">
        <v>602</v>
      </c>
      <c r="B510" t="s">
        <v>18</v>
      </c>
      <c r="C510" t="s">
        <v>19</v>
      </c>
      <c r="D510" t="s">
        <v>530</v>
      </c>
      <c r="E510">
        <v>920</v>
      </c>
      <c r="F510">
        <v>455</v>
      </c>
      <c r="G510">
        <v>430</v>
      </c>
      <c r="H510">
        <v>20</v>
      </c>
      <c r="I510">
        <v>905</v>
      </c>
      <c r="J510" s="8">
        <f>Table1[[#This Row],[PartyAVotes]]/Table1[[#This Row],[RegisteredVoters]]</f>
        <v>0.49456521739130432</v>
      </c>
      <c r="K510" s="8">
        <f>Table1[[#This Row],[PartyBVotes]]/Table1[[#This Row],[RegisteredVoters]]</f>
        <v>0.46739130434782611</v>
      </c>
      <c r="L510" s="8">
        <f>Table1[[#This Row],[PartyCVotes]]/Table1[[#This Row],[RegisteredVoters]]</f>
        <v>2.1739130434782608E-2</v>
      </c>
      <c r="M510">
        <f>ABS(Table1[[#This Row],[PartyAVotes]]-Table1[[#This Row],[PartyBVotes]])</f>
        <v>25</v>
      </c>
      <c r="N510" s="11">
        <f>Table1[[#This Row],[TotalVotesCast]]/Table1[[#This Row],[RegisteredVoters]]</f>
        <v>0.98369565217391308</v>
      </c>
      <c r="O510" t="str">
        <f>IF(Table1[[#This Row],[RegisteredVoters]]=Table1[[#This Row],[TotalVotesCast]],"Match","")</f>
        <v/>
      </c>
    </row>
    <row r="511" spans="1:15" ht="13.2">
      <c r="A511" s="1" t="s">
        <v>603</v>
      </c>
      <c r="B511" t="s">
        <v>21</v>
      </c>
      <c r="C511" t="s">
        <v>23</v>
      </c>
      <c r="D511" t="s">
        <v>512</v>
      </c>
      <c r="E511">
        <v>980</v>
      </c>
      <c r="F511">
        <v>485</v>
      </c>
      <c r="G511">
        <v>460</v>
      </c>
      <c r="H511">
        <v>20</v>
      </c>
      <c r="I511">
        <v>965</v>
      </c>
      <c r="J511" s="8">
        <f>Table1[[#This Row],[PartyAVotes]]/Table1[[#This Row],[RegisteredVoters]]</f>
        <v>0.49489795918367346</v>
      </c>
      <c r="K511" s="8">
        <f>Table1[[#This Row],[PartyBVotes]]/Table1[[#This Row],[RegisteredVoters]]</f>
        <v>0.46938775510204084</v>
      </c>
      <c r="L511" s="8">
        <f>Table1[[#This Row],[PartyCVotes]]/Table1[[#This Row],[RegisteredVoters]]</f>
        <v>2.0408163265306121E-2</v>
      </c>
      <c r="M511">
        <f>ABS(Table1[[#This Row],[PartyAVotes]]-Table1[[#This Row],[PartyBVotes]])</f>
        <v>25</v>
      </c>
      <c r="N511" s="11">
        <f>Table1[[#This Row],[TotalVotesCast]]/Table1[[#This Row],[RegisteredVoters]]</f>
        <v>0.98469387755102045</v>
      </c>
      <c r="O511" t="str">
        <f>IF(Table1[[#This Row],[RegisteredVoters]]=Table1[[#This Row],[TotalVotesCast]],"Match","")</f>
        <v/>
      </c>
    </row>
    <row r="512" spans="1:15" ht="13.2">
      <c r="A512" s="1" t="s">
        <v>604</v>
      </c>
      <c r="B512" t="s">
        <v>10</v>
      </c>
      <c r="C512" t="s">
        <v>11</v>
      </c>
      <c r="D512" t="s">
        <v>575</v>
      </c>
      <c r="E512">
        <v>510</v>
      </c>
      <c r="F512">
        <v>245</v>
      </c>
      <c r="G512">
        <v>225</v>
      </c>
      <c r="H512">
        <v>10</v>
      </c>
      <c r="I512">
        <v>480</v>
      </c>
      <c r="J512" s="8">
        <f>Table1[[#This Row],[PartyAVotes]]/Table1[[#This Row],[RegisteredVoters]]</f>
        <v>0.48039215686274511</v>
      </c>
      <c r="K512" s="8">
        <f>Table1[[#This Row],[PartyBVotes]]/Table1[[#This Row],[RegisteredVoters]]</f>
        <v>0.44117647058823528</v>
      </c>
      <c r="L512" s="8">
        <f>Table1[[#This Row],[PartyCVotes]]/Table1[[#This Row],[RegisteredVoters]]</f>
        <v>1.9607843137254902E-2</v>
      </c>
      <c r="M512">
        <f>ABS(Table1[[#This Row],[PartyAVotes]]-Table1[[#This Row],[PartyBVotes]])</f>
        <v>20</v>
      </c>
      <c r="N512" s="11">
        <f>Table1[[#This Row],[TotalVotesCast]]/Table1[[#This Row],[RegisteredVoters]]</f>
        <v>0.94117647058823528</v>
      </c>
      <c r="O512" t="str">
        <f>IF(Table1[[#This Row],[RegisteredVoters]]=Table1[[#This Row],[TotalVotesCast]],"Match","")</f>
        <v/>
      </c>
    </row>
    <row r="513" spans="1:15" ht="13.2">
      <c r="A513" s="1" t="s">
        <v>605</v>
      </c>
      <c r="B513" t="s">
        <v>15</v>
      </c>
      <c r="C513" t="s">
        <v>16</v>
      </c>
      <c r="D513" t="s">
        <v>575</v>
      </c>
      <c r="E513">
        <v>810</v>
      </c>
      <c r="F513">
        <v>395</v>
      </c>
      <c r="G513">
        <v>375</v>
      </c>
      <c r="H513">
        <v>15</v>
      </c>
      <c r="I513">
        <v>785</v>
      </c>
      <c r="J513" s="8">
        <f>Table1[[#This Row],[PartyAVotes]]/Table1[[#This Row],[RegisteredVoters]]</f>
        <v>0.48765432098765432</v>
      </c>
      <c r="K513" s="8">
        <f>Table1[[#This Row],[PartyBVotes]]/Table1[[#This Row],[RegisteredVoters]]</f>
        <v>0.46296296296296297</v>
      </c>
      <c r="L513" s="8">
        <f>Table1[[#This Row],[PartyCVotes]]/Table1[[#This Row],[RegisteredVoters]]</f>
        <v>1.8518518518518517E-2</v>
      </c>
      <c r="M513">
        <f>ABS(Table1[[#This Row],[PartyAVotes]]-Table1[[#This Row],[PartyBVotes]])</f>
        <v>20</v>
      </c>
      <c r="N513" s="11">
        <f>Table1[[#This Row],[TotalVotesCast]]/Table1[[#This Row],[RegisteredVoters]]</f>
        <v>0.96913580246913578</v>
      </c>
      <c r="O513" t="str">
        <f>IF(Table1[[#This Row],[RegisteredVoters]]=Table1[[#This Row],[TotalVotesCast]],"Match","")</f>
        <v/>
      </c>
    </row>
    <row r="514" spans="1:15" ht="13.2">
      <c r="A514" s="1" t="s">
        <v>606</v>
      </c>
      <c r="B514" t="s">
        <v>18</v>
      </c>
      <c r="C514" t="s">
        <v>20</v>
      </c>
      <c r="D514" t="s">
        <v>607</v>
      </c>
      <c r="E514">
        <v>900</v>
      </c>
      <c r="F514">
        <v>445</v>
      </c>
      <c r="G514">
        <v>425</v>
      </c>
      <c r="H514">
        <v>15</v>
      </c>
      <c r="I514">
        <v>885</v>
      </c>
      <c r="J514" s="8">
        <f>Table1[[#This Row],[PartyAVotes]]/Table1[[#This Row],[RegisteredVoters]]</f>
        <v>0.49444444444444446</v>
      </c>
      <c r="K514" s="8">
        <f>Table1[[#This Row],[PartyBVotes]]/Table1[[#This Row],[RegisteredVoters]]</f>
        <v>0.47222222222222221</v>
      </c>
      <c r="L514" s="8">
        <f>Table1[[#This Row],[PartyCVotes]]/Table1[[#This Row],[RegisteredVoters]]</f>
        <v>1.6666666666666666E-2</v>
      </c>
      <c r="M514">
        <f>ABS(Table1[[#This Row],[PartyAVotes]]-Table1[[#This Row],[PartyBVotes]])</f>
        <v>20</v>
      </c>
      <c r="N514" s="11">
        <f>Table1[[#This Row],[TotalVotesCast]]/Table1[[#This Row],[RegisteredVoters]]</f>
        <v>0.98333333333333328</v>
      </c>
      <c r="O514" t="str">
        <f>IF(Table1[[#This Row],[RegisteredVoters]]=Table1[[#This Row],[TotalVotesCast]],"Match","")</f>
        <v/>
      </c>
    </row>
    <row r="515" spans="1:15" ht="13.2">
      <c r="A515" s="1" t="s">
        <v>608</v>
      </c>
      <c r="B515" t="s">
        <v>21</v>
      </c>
      <c r="C515" t="s">
        <v>22</v>
      </c>
      <c r="D515" t="s">
        <v>566</v>
      </c>
      <c r="E515">
        <v>1160</v>
      </c>
      <c r="F515">
        <v>565</v>
      </c>
      <c r="G515">
        <v>535</v>
      </c>
      <c r="H515">
        <v>25</v>
      </c>
      <c r="I515">
        <v>1125</v>
      </c>
      <c r="J515" s="8">
        <f>Table1[[#This Row],[PartyAVotes]]/Table1[[#This Row],[RegisteredVoters]]</f>
        <v>0.48706896551724138</v>
      </c>
      <c r="K515" s="8">
        <f>Table1[[#This Row],[PartyBVotes]]/Table1[[#This Row],[RegisteredVoters]]</f>
        <v>0.46120689655172414</v>
      </c>
      <c r="L515" s="8">
        <f>Table1[[#This Row],[PartyCVotes]]/Table1[[#This Row],[RegisteredVoters]]</f>
        <v>2.1551724137931036E-2</v>
      </c>
      <c r="M515">
        <f>ABS(Table1[[#This Row],[PartyAVotes]]-Table1[[#This Row],[PartyBVotes]])</f>
        <v>30</v>
      </c>
      <c r="N515" s="11">
        <f>Table1[[#This Row],[TotalVotesCast]]/Table1[[#This Row],[RegisteredVoters]]</f>
        <v>0.96982758620689657</v>
      </c>
      <c r="O515" t="str">
        <f>IF(Table1[[#This Row],[RegisteredVoters]]=Table1[[#This Row],[TotalVotesCast]],"Match","")</f>
        <v/>
      </c>
    </row>
    <row r="516" spans="1:15" ht="13.2">
      <c r="A516" s="1" t="s">
        <v>609</v>
      </c>
      <c r="B516" t="s">
        <v>10</v>
      </c>
      <c r="C516" t="s">
        <v>14</v>
      </c>
      <c r="D516" t="s">
        <v>530</v>
      </c>
      <c r="E516">
        <v>610</v>
      </c>
      <c r="F516">
        <v>295</v>
      </c>
      <c r="G516">
        <v>275</v>
      </c>
      <c r="H516">
        <v>15</v>
      </c>
      <c r="I516">
        <v>585</v>
      </c>
      <c r="J516" s="8">
        <f>Table1[[#This Row],[PartyAVotes]]/Table1[[#This Row],[RegisteredVoters]]</f>
        <v>0.48360655737704916</v>
      </c>
      <c r="K516" s="8">
        <f>Table1[[#This Row],[PartyBVotes]]/Table1[[#This Row],[RegisteredVoters]]</f>
        <v>0.45081967213114754</v>
      </c>
      <c r="L516" s="8">
        <f>Table1[[#This Row],[PartyCVotes]]/Table1[[#This Row],[RegisteredVoters]]</f>
        <v>2.4590163934426229E-2</v>
      </c>
      <c r="M516">
        <f>ABS(Table1[[#This Row],[PartyAVotes]]-Table1[[#This Row],[PartyBVotes]])</f>
        <v>20</v>
      </c>
      <c r="N516" s="11">
        <f>Table1[[#This Row],[TotalVotesCast]]/Table1[[#This Row],[RegisteredVoters]]</f>
        <v>0.95901639344262291</v>
      </c>
      <c r="O516" t="str">
        <f>IF(Table1[[#This Row],[RegisteredVoters]]=Table1[[#This Row],[TotalVotesCast]],"Match","")</f>
        <v/>
      </c>
    </row>
    <row r="517" spans="1:15" ht="13.2">
      <c r="A517" s="1" t="s">
        <v>610</v>
      </c>
      <c r="B517" t="s">
        <v>15</v>
      </c>
      <c r="C517" t="s">
        <v>17</v>
      </c>
      <c r="D517" t="s">
        <v>512</v>
      </c>
      <c r="E517">
        <v>660</v>
      </c>
      <c r="F517">
        <v>325</v>
      </c>
      <c r="G517">
        <v>305</v>
      </c>
      <c r="H517">
        <v>15</v>
      </c>
      <c r="I517">
        <v>645</v>
      </c>
      <c r="J517" s="8">
        <f>Table1[[#This Row],[PartyAVotes]]/Table1[[#This Row],[RegisteredVoters]]</f>
        <v>0.49242424242424243</v>
      </c>
      <c r="K517" s="8">
        <f>Table1[[#This Row],[PartyBVotes]]/Table1[[#This Row],[RegisteredVoters]]</f>
        <v>0.4621212121212121</v>
      </c>
      <c r="L517" s="8">
        <f>Table1[[#This Row],[PartyCVotes]]/Table1[[#This Row],[RegisteredVoters]]</f>
        <v>2.2727272727272728E-2</v>
      </c>
      <c r="M517">
        <f>ABS(Table1[[#This Row],[PartyAVotes]]-Table1[[#This Row],[PartyBVotes]])</f>
        <v>20</v>
      </c>
      <c r="N517" s="11">
        <f>Table1[[#This Row],[TotalVotesCast]]/Table1[[#This Row],[RegisteredVoters]]</f>
        <v>0.97727272727272729</v>
      </c>
      <c r="O517" t="str">
        <f>IF(Table1[[#This Row],[RegisteredVoters]]=Table1[[#This Row],[TotalVotesCast]],"Match","")</f>
        <v/>
      </c>
    </row>
    <row r="518" spans="1:15" ht="13.2">
      <c r="A518" s="1" t="s">
        <v>611</v>
      </c>
      <c r="B518" t="s">
        <v>18</v>
      </c>
      <c r="C518" t="s">
        <v>19</v>
      </c>
      <c r="D518" t="s">
        <v>539</v>
      </c>
      <c r="E518">
        <v>930</v>
      </c>
      <c r="F518">
        <v>460</v>
      </c>
      <c r="G518">
        <v>435</v>
      </c>
      <c r="H518">
        <v>20</v>
      </c>
      <c r="I518">
        <v>915</v>
      </c>
      <c r="J518" s="8">
        <f>Table1[[#This Row],[PartyAVotes]]/Table1[[#This Row],[RegisteredVoters]]</f>
        <v>0.4946236559139785</v>
      </c>
      <c r="K518" s="8">
        <f>Table1[[#This Row],[PartyBVotes]]/Table1[[#This Row],[RegisteredVoters]]</f>
        <v>0.46774193548387094</v>
      </c>
      <c r="L518" s="8">
        <f>Table1[[#This Row],[PartyCVotes]]/Table1[[#This Row],[RegisteredVoters]]</f>
        <v>2.1505376344086023E-2</v>
      </c>
      <c r="M518">
        <f>ABS(Table1[[#This Row],[PartyAVotes]]-Table1[[#This Row],[PartyBVotes]])</f>
        <v>25</v>
      </c>
      <c r="N518" s="11">
        <f>Table1[[#This Row],[TotalVotesCast]]/Table1[[#This Row],[RegisteredVoters]]</f>
        <v>0.9838709677419355</v>
      </c>
      <c r="O518" t="str">
        <f>IF(Table1[[#This Row],[RegisteredVoters]]=Table1[[#This Row],[TotalVotesCast]],"Match","")</f>
        <v/>
      </c>
    </row>
    <row r="519" spans="1:15" ht="13.2">
      <c r="A519" s="1" t="s">
        <v>612</v>
      </c>
      <c r="B519" t="s">
        <v>21</v>
      </c>
      <c r="C519" t="s">
        <v>23</v>
      </c>
      <c r="D519" t="s">
        <v>521</v>
      </c>
      <c r="E519">
        <v>990</v>
      </c>
      <c r="F519">
        <v>490</v>
      </c>
      <c r="G519">
        <v>465</v>
      </c>
      <c r="H519">
        <v>20</v>
      </c>
      <c r="I519">
        <v>975</v>
      </c>
      <c r="J519" s="8">
        <f>Table1[[#This Row],[PartyAVotes]]/Table1[[#This Row],[RegisteredVoters]]</f>
        <v>0.49494949494949497</v>
      </c>
      <c r="K519" s="8">
        <f>Table1[[#This Row],[PartyBVotes]]/Table1[[#This Row],[RegisteredVoters]]</f>
        <v>0.46969696969696972</v>
      </c>
      <c r="L519" s="8">
        <f>Table1[[#This Row],[PartyCVotes]]/Table1[[#This Row],[RegisteredVoters]]</f>
        <v>2.0202020202020204E-2</v>
      </c>
      <c r="M519">
        <f>ABS(Table1[[#This Row],[PartyAVotes]]-Table1[[#This Row],[PartyBVotes]])</f>
        <v>25</v>
      </c>
      <c r="N519" s="11">
        <f>Table1[[#This Row],[TotalVotesCast]]/Table1[[#This Row],[RegisteredVoters]]</f>
        <v>0.98484848484848486</v>
      </c>
      <c r="O519" t="str">
        <f>IF(Table1[[#This Row],[RegisteredVoters]]=Table1[[#This Row],[TotalVotesCast]],"Match","")</f>
        <v/>
      </c>
    </row>
    <row r="520" spans="1:15" ht="13.2">
      <c r="A520" s="1" t="s">
        <v>613</v>
      </c>
      <c r="B520" t="s">
        <v>10</v>
      </c>
      <c r="C520" t="s">
        <v>11</v>
      </c>
      <c r="D520" t="s">
        <v>584</v>
      </c>
      <c r="E520">
        <v>520</v>
      </c>
      <c r="F520">
        <v>250</v>
      </c>
      <c r="G520">
        <v>230</v>
      </c>
      <c r="H520">
        <v>10</v>
      </c>
      <c r="I520">
        <v>490</v>
      </c>
      <c r="J520" s="8">
        <f>Table1[[#This Row],[PartyAVotes]]/Table1[[#This Row],[RegisteredVoters]]</f>
        <v>0.48076923076923078</v>
      </c>
      <c r="K520" s="8">
        <f>Table1[[#This Row],[PartyBVotes]]/Table1[[#This Row],[RegisteredVoters]]</f>
        <v>0.44230769230769229</v>
      </c>
      <c r="L520" s="8">
        <f>Table1[[#This Row],[PartyCVotes]]/Table1[[#This Row],[RegisteredVoters]]</f>
        <v>1.9230769230769232E-2</v>
      </c>
      <c r="M520">
        <f>ABS(Table1[[#This Row],[PartyAVotes]]-Table1[[#This Row],[PartyBVotes]])</f>
        <v>20</v>
      </c>
      <c r="N520" s="11">
        <f>Table1[[#This Row],[TotalVotesCast]]/Table1[[#This Row],[RegisteredVoters]]</f>
        <v>0.94230769230769229</v>
      </c>
      <c r="O520" t="str">
        <f>IF(Table1[[#This Row],[RegisteredVoters]]=Table1[[#This Row],[TotalVotesCast]],"Match","")</f>
        <v/>
      </c>
    </row>
    <row r="521" spans="1:15" ht="13.2">
      <c r="A521" s="1" t="s">
        <v>614</v>
      </c>
      <c r="B521" t="s">
        <v>15</v>
      </c>
      <c r="C521" t="s">
        <v>16</v>
      </c>
      <c r="D521" t="s">
        <v>584</v>
      </c>
      <c r="E521">
        <v>820</v>
      </c>
      <c r="F521">
        <v>400</v>
      </c>
      <c r="G521">
        <v>380</v>
      </c>
      <c r="H521">
        <v>15</v>
      </c>
      <c r="I521">
        <v>795</v>
      </c>
      <c r="J521" s="8">
        <f>Table1[[#This Row],[PartyAVotes]]/Table1[[#This Row],[RegisteredVoters]]</f>
        <v>0.48780487804878048</v>
      </c>
      <c r="K521" s="8">
        <f>Table1[[#This Row],[PartyBVotes]]/Table1[[#This Row],[RegisteredVoters]]</f>
        <v>0.46341463414634149</v>
      </c>
      <c r="L521" s="8">
        <f>Table1[[#This Row],[PartyCVotes]]/Table1[[#This Row],[RegisteredVoters]]</f>
        <v>1.8292682926829267E-2</v>
      </c>
      <c r="M521">
        <f>ABS(Table1[[#This Row],[PartyAVotes]]-Table1[[#This Row],[PartyBVotes]])</f>
        <v>20</v>
      </c>
      <c r="N521" s="11">
        <f>Table1[[#This Row],[TotalVotesCast]]/Table1[[#This Row],[RegisteredVoters]]</f>
        <v>0.96951219512195119</v>
      </c>
      <c r="O521" t="str">
        <f>IF(Table1[[#This Row],[RegisteredVoters]]=Table1[[#This Row],[TotalVotesCast]],"Match","")</f>
        <v/>
      </c>
    </row>
    <row r="522" spans="1:15" ht="13.2">
      <c r="A522" s="1" t="s">
        <v>615</v>
      </c>
      <c r="B522" t="s">
        <v>18</v>
      </c>
      <c r="C522" t="s">
        <v>20</v>
      </c>
      <c r="D522" t="s">
        <v>616</v>
      </c>
      <c r="E522">
        <v>910</v>
      </c>
      <c r="F522">
        <v>450</v>
      </c>
      <c r="G522">
        <v>430</v>
      </c>
      <c r="H522">
        <v>15</v>
      </c>
      <c r="I522">
        <v>895</v>
      </c>
      <c r="J522" s="8">
        <f>Table1[[#This Row],[PartyAVotes]]/Table1[[#This Row],[RegisteredVoters]]</f>
        <v>0.49450549450549453</v>
      </c>
      <c r="K522" s="8">
        <f>Table1[[#This Row],[PartyBVotes]]/Table1[[#This Row],[RegisteredVoters]]</f>
        <v>0.47252747252747251</v>
      </c>
      <c r="L522" s="8">
        <f>Table1[[#This Row],[PartyCVotes]]/Table1[[#This Row],[RegisteredVoters]]</f>
        <v>1.6483516483516484E-2</v>
      </c>
      <c r="M522">
        <f>ABS(Table1[[#This Row],[PartyAVotes]]-Table1[[#This Row],[PartyBVotes]])</f>
        <v>20</v>
      </c>
      <c r="N522" s="11">
        <f>Table1[[#This Row],[TotalVotesCast]]/Table1[[#This Row],[RegisteredVoters]]</f>
        <v>0.98351648351648346</v>
      </c>
      <c r="O522" t="str">
        <f>IF(Table1[[#This Row],[RegisteredVoters]]=Table1[[#This Row],[TotalVotesCast]],"Match","")</f>
        <v/>
      </c>
    </row>
    <row r="523" spans="1:15" ht="13.2">
      <c r="A523" s="1" t="s">
        <v>617</v>
      </c>
      <c r="B523" t="s">
        <v>21</v>
      </c>
      <c r="C523" t="s">
        <v>22</v>
      </c>
      <c r="D523" t="s">
        <v>575</v>
      </c>
      <c r="E523">
        <v>1170</v>
      </c>
      <c r="F523">
        <v>570</v>
      </c>
      <c r="G523">
        <v>540</v>
      </c>
      <c r="H523">
        <v>25</v>
      </c>
      <c r="I523">
        <v>1135</v>
      </c>
      <c r="J523" s="8">
        <f>Table1[[#This Row],[PartyAVotes]]/Table1[[#This Row],[RegisteredVoters]]</f>
        <v>0.48717948717948717</v>
      </c>
      <c r="K523" s="8">
        <f>Table1[[#This Row],[PartyBVotes]]/Table1[[#This Row],[RegisteredVoters]]</f>
        <v>0.46153846153846156</v>
      </c>
      <c r="L523" s="8">
        <f>Table1[[#This Row],[PartyCVotes]]/Table1[[#This Row],[RegisteredVoters]]</f>
        <v>2.1367521367521368E-2</v>
      </c>
      <c r="M523">
        <f>ABS(Table1[[#This Row],[PartyAVotes]]-Table1[[#This Row],[PartyBVotes]])</f>
        <v>30</v>
      </c>
      <c r="N523" s="11">
        <f>Table1[[#This Row],[TotalVotesCast]]/Table1[[#This Row],[RegisteredVoters]]</f>
        <v>0.97008547008547008</v>
      </c>
      <c r="O523" t="str">
        <f>IF(Table1[[#This Row],[RegisteredVoters]]=Table1[[#This Row],[TotalVotesCast]],"Match","")</f>
        <v/>
      </c>
    </row>
    <row r="524" spans="1:15" ht="13.2">
      <c r="A524" s="1" t="s">
        <v>618</v>
      </c>
      <c r="B524" t="s">
        <v>10</v>
      </c>
      <c r="C524" t="s">
        <v>14</v>
      </c>
      <c r="D524" t="s">
        <v>539</v>
      </c>
      <c r="E524">
        <v>620</v>
      </c>
      <c r="F524">
        <v>300</v>
      </c>
      <c r="G524">
        <v>280</v>
      </c>
      <c r="H524">
        <v>15</v>
      </c>
      <c r="I524">
        <v>595</v>
      </c>
      <c r="J524" s="8">
        <f>Table1[[#This Row],[PartyAVotes]]/Table1[[#This Row],[RegisteredVoters]]</f>
        <v>0.4838709677419355</v>
      </c>
      <c r="K524" s="8">
        <f>Table1[[#This Row],[PartyBVotes]]/Table1[[#This Row],[RegisteredVoters]]</f>
        <v>0.45161290322580644</v>
      </c>
      <c r="L524" s="8">
        <f>Table1[[#This Row],[PartyCVotes]]/Table1[[#This Row],[RegisteredVoters]]</f>
        <v>2.4193548387096774E-2</v>
      </c>
      <c r="M524">
        <f>ABS(Table1[[#This Row],[PartyAVotes]]-Table1[[#This Row],[PartyBVotes]])</f>
        <v>20</v>
      </c>
      <c r="N524" s="11">
        <f>Table1[[#This Row],[TotalVotesCast]]/Table1[[#This Row],[RegisteredVoters]]</f>
        <v>0.95967741935483875</v>
      </c>
      <c r="O524" t="str">
        <f>IF(Table1[[#This Row],[RegisteredVoters]]=Table1[[#This Row],[TotalVotesCast]],"Match","")</f>
        <v/>
      </c>
    </row>
    <row r="525" spans="1:15" ht="13.2">
      <c r="A525" s="1" t="s">
        <v>619</v>
      </c>
      <c r="B525" t="s">
        <v>15</v>
      </c>
      <c r="C525" t="s">
        <v>17</v>
      </c>
      <c r="D525" t="s">
        <v>521</v>
      </c>
      <c r="E525">
        <v>670</v>
      </c>
      <c r="F525">
        <v>330</v>
      </c>
      <c r="G525">
        <v>310</v>
      </c>
      <c r="H525">
        <v>15</v>
      </c>
      <c r="I525">
        <v>655</v>
      </c>
      <c r="J525" s="8">
        <f>Table1[[#This Row],[PartyAVotes]]/Table1[[#This Row],[RegisteredVoters]]</f>
        <v>0.4925373134328358</v>
      </c>
      <c r="K525" s="8">
        <f>Table1[[#This Row],[PartyBVotes]]/Table1[[#This Row],[RegisteredVoters]]</f>
        <v>0.46268656716417911</v>
      </c>
      <c r="L525" s="8">
        <f>Table1[[#This Row],[PartyCVotes]]/Table1[[#This Row],[RegisteredVoters]]</f>
        <v>2.2388059701492536E-2</v>
      </c>
      <c r="M525">
        <f>ABS(Table1[[#This Row],[PartyAVotes]]-Table1[[#This Row],[PartyBVotes]])</f>
        <v>20</v>
      </c>
      <c r="N525" s="11">
        <f>Table1[[#This Row],[TotalVotesCast]]/Table1[[#This Row],[RegisteredVoters]]</f>
        <v>0.97761194029850751</v>
      </c>
      <c r="O525" t="str">
        <f>IF(Table1[[#This Row],[RegisteredVoters]]=Table1[[#This Row],[TotalVotesCast]],"Match","")</f>
        <v/>
      </c>
    </row>
    <row r="526" spans="1:15" ht="13.2">
      <c r="A526" s="1" t="s">
        <v>620</v>
      </c>
      <c r="B526" t="s">
        <v>18</v>
      </c>
      <c r="C526" t="s">
        <v>19</v>
      </c>
      <c r="D526" t="s">
        <v>548</v>
      </c>
      <c r="E526">
        <v>940</v>
      </c>
      <c r="F526">
        <v>465</v>
      </c>
      <c r="G526">
        <v>440</v>
      </c>
      <c r="H526">
        <v>20</v>
      </c>
      <c r="I526">
        <v>925</v>
      </c>
      <c r="J526" s="8">
        <f>Table1[[#This Row],[PartyAVotes]]/Table1[[#This Row],[RegisteredVoters]]</f>
        <v>0.49468085106382981</v>
      </c>
      <c r="K526" s="8">
        <f>Table1[[#This Row],[PartyBVotes]]/Table1[[#This Row],[RegisteredVoters]]</f>
        <v>0.46808510638297873</v>
      </c>
      <c r="L526" s="8">
        <f>Table1[[#This Row],[PartyCVotes]]/Table1[[#This Row],[RegisteredVoters]]</f>
        <v>2.1276595744680851E-2</v>
      </c>
      <c r="M526">
        <f>ABS(Table1[[#This Row],[PartyAVotes]]-Table1[[#This Row],[PartyBVotes]])</f>
        <v>25</v>
      </c>
      <c r="N526" s="11">
        <f>Table1[[#This Row],[TotalVotesCast]]/Table1[[#This Row],[RegisteredVoters]]</f>
        <v>0.98404255319148937</v>
      </c>
      <c r="O526" t="str">
        <f>IF(Table1[[#This Row],[RegisteredVoters]]=Table1[[#This Row],[TotalVotesCast]],"Match","")</f>
        <v/>
      </c>
    </row>
    <row r="527" spans="1:15" ht="13.2">
      <c r="A527" s="1" t="s">
        <v>621</v>
      </c>
      <c r="B527" t="s">
        <v>21</v>
      </c>
      <c r="C527" t="s">
        <v>23</v>
      </c>
      <c r="D527" t="s">
        <v>530</v>
      </c>
      <c r="E527">
        <v>1000</v>
      </c>
      <c r="F527">
        <v>495</v>
      </c>
      <c r="G527">
        <v>470</v>
      </c>
      <c r="H527">
        <v>20</v>
      </c>
      <c r="I527">
        <v>985</v>
      </c>
      <c r="J527" s="8">
        <f>Table1[[#This Row],[PartyAVotes]]/Table1[[#This Row],[RegisteredVoters]]</f>
        <v>0.495</v>
      </c>
      <c r="K527" s="8">
        <f>Table1[[#This Row],[PartyBVotes]]/Table1[[#This Row],[RegisteredVoters]]</f>
        <v>0.47</v>
      </c>
      <c r="L527" s="8">
        <f>Table1[[#This Row],[PartyCVotes]]/Table1[[#This Row],[RegisteredVoters]]</f>
        <v>0.02</v>
      </c>
      <c r="M527">
        <f>ABS(Table1[[#This Row],[PartyAVotes]]-Table1[[#This Row],[PartyBVotes]])</f>
        <v>25</v>
      </c>
      <c r="N527" s="11">
        <f>Table1[[#This Row],[TotalVotesCast]]/Table1[[#This Row],[RegisteredVoters]]</f>
        <v>0.98499999999999999</v>
      </c>
      <c r="O527" t="str">
        <f>IF(Table1[[#This Row],[RegisteredVoters]]=Table1[[#This Row],[TotalVotesCast]],"Match","")</f>
        <v/>
      </c>
    </row>
    <row r="528" spans="1:15" ht="13.2">
      <c r="A528" s="1" t="s">
        <v>622</v>
      </c>
      <c r="B528" t="s">
        <v>10</v>
      </c>
      <c r="C528" t="s">
        <v>11</v>
      </c>
      <c r="D528" t="s">
        <v>593</v>
      </c>
      <c r="E528">
        <v>530</v>
      </c>
      <c r="F528">
        <v>255</v>
      </c>
      <c r="G528">
        <v>235</v>
      </c>
      <c r="H528">
        <v>10</v>
      </c>
      <c r="I528">
        <v>500</v>
      </c>
      <c r="J528" s="8">
        <f>Table1[[#This Row],[PartyAVotes]]/Table1[[#This Row],[RegisteredVoters]]</f>
        <v>0.48113207547169812</v>
      </c>
      <c r="K528" s="8">
        <f>Table1[[#This Row],[PartyBVotes]]/Table1[[#This Row],[RegisteredVoters]]</f>
        <v>0.44339622641509435</v>
      </c>
      <c r="L528" s="8">
        <f>Table1[[#This Row],[PartyCVotes]]/Table1[[#This Row],[RegisteredVoters]]</f>
        <v>1.8867924528301886E-2</v>
      </c>
      <c r="M528">
        <f>ABS(Table1[[#This Row],[PartyAVotes]]-Table1[[#This Row],[PartyBVotes]])</f>
        <v>20</v>
      </c>
      <c r="N528" s="11">
        <f>Table1[[#This Row],[TotalVotesCast]]/Table1[[#This Row],[RegisteredVoters]]</f>
        <v>0.94339622641509435</v>
      </c>
      <c r="O528" t="str">
        <f>IF(Table1[[#This Row],[RegisteredVoters]]=Table1[[#This Row],[TotalVotesCast]],"Match","")</f>
        <v/>
      </c>
    </row>
    <row r="529" spans="1:15" ht="13.2">
      <c r="A529" s="1" t="s">
        <v>623</v>
      </c>
      <c r="B529" t="s">
        <v>15</v>
      </c>
      <c r="C529" t="s">
        <v>16</v>
      </c>
      <c r="D529" t="s">
        <v>593</v>
      </c>
      <c r="E529">
        <v>830</v>
      </c>
      <c r="F529">
        <v>405</v>
      </c>
      <c r="G529">
        <v>385</v>
      </c>
      <c r="H529">
        <v>15</v>
      </c>
      <c r="I529">
        <v>805</v>
      </c>
      <c r="J529" s="8">
        <f>Table1[[#This Row],[PartyAVotes]]/Table1[[#This Row],[RegisteredVoters]]</f>
        <v>0.48795180722891568</v>
      </c>
      <c r="K529" s="8">
        <f>Table1[[#This Row],[PartyBVotes]]/Table1[[#This Row],[RegisteredVoters]]</f>
        <v>0.46385542168674698</v>
      </c>
      <c r="L529" s="8">
        <f>Table1[[#This Row],[PartyCVotes]]/Table1[[#This Row],[RegisteredVoters]]</f>
        <v>1.8072289156626505E-2</v>
      </c>
      <c r="M529">
        <f>ABS(Table1[[#This Row],[PartyAVotes]]-Table1[[#This Row],[PartyBVotes]])</f>
        <v>20</v>
      </c>
      <c r="N529" s="11">
        <f>Table1[[#This Row],[TotalVotesCast]]/Table1[[#This Row],[RegisteredVoters]]</f>
        <v>0.96987951807228912</v>
      </c>
      <c r="O529" t="str">
        <f>IF(Table1[[#This Row],[RegisteredVoters]]=Table1[[#This Row],[TotalVotesCast]],"Match","")</f>
        <v/>
      </c>
    </row>
    <row r="530" spans="1:15" ht="13.2">
      <c r="A530" s="1" t="s">
        <v>624</v>
      </c>
      <c r="B530" t="s">
        <v>18</v>
      </c>
      <c r="C530" t="s">
        <v>20</v>
      </c>
      <c r="D530" t="s">
        <v>625</v>
      </c>
      <c r="E530">
        <v>920</v>
      </c>
      <c r="F530">
        <v>455</v>
      </c>
      <c r="G530">
        <v>435</v>
      </c>
      <c r="H530">
        <v>15</v>
      </c>
      <c r="I530">
        <v>905</v>
      </c>
      <c r="J530" s="8">
        <f>Table1[[#This Row],[PartyAVotes]]/Table1[[#This Row],[RegisteredVoters]]</f>
        <v>0.49456521739130432</v>
      </c>
      <c r="K530" s="8">
        <f>Table1[[#This Row],[PartyBVotes]]/Table1[[#This Row],[RegisteredVoters]]</f>
        <v>0.47282608695652173</v>
      </c>
      <c r="L530" s="8">
        <f>Table1[[#This Row],[PartyCVotes]]/Table1[[#This Row],[RegisteredVoters]]</f>
        <v>1.6304347826086956E-2</v>
      </c>
      <c r="M530">
        <f>ABS(Table1[[#This Row],[PartyAVotes]]-Table1[[#This Row],[PartyBVotes]])</f>
        <v>20</v>
      </c>
      <c r="N530" s="11">
        <f>Table1[[#This Row],[TotalVotesCast]]/Table1[[#This Row],[RegisteredVoters]]</f>
        <v>0.98369565217391308</v>
      </c>
      <c r="O530" t="str">
        <f>IF(Table1[[#This Row],[RegisteredVoters]]=Table1[[#This Row],[TotalVotesCast]],"Match","")</f>
        <v/>
      </c>
    </row>
    <row r="531" spans="1:15" ht="13.2">
      <c r="A531" s="1" t="s">
        <v>626</v>
      </c>
      <c r="B531" t="s">
        <v>21</v>
      </c>
      <c r="C531" t="s">
        <v>22</v>
      </c>
      <c r="D531" t="s">
        <v>584</v>
      </c>
      <c r="E531">
        <v>1180</v>
      </c>
      <c r="F531">
        <v>575</v>
      </c>
      <c r="G531">
        <v>545</v>
      </c>
      <c r="H531">
        <v>25</v>
      </c>
      <c r="I531">
        <v>1145</v>
      </c>
      <c r="J531" s="8">
        <f>Table1[[#This Row],[PartyAVotes]]/Table1[[#This Row],[RegisteredVoters]]</f>
        <v>0.48728813559322032</v>
      </c>
      <c r="K531" s="8">
        <f>Table1[[#This Row],[PartyBVotes]]/Table1[[#This Row],[RegisteredVoters]]</f>
        <v>0.46186440677966101</v>
      </c>
      <c r="L531" s="8">
        <f>Table1[[#This Row],[PartyCVotes]]/Table1[[#This Row],[RegisteredVoters]]</f>
        <v>2.1186440677966101E-2</v>
      </c>
      <c r="M531">
        <f>ABS(Table1[[#This Row],[PartyAVotes]]-Table1[[#This Row],[PartyBVotes]])</f>
        <v>30</v>
      </c>
      <c r="N531" s="11">
        <f>Table1[[#This Row],[TotalVotesCast]]/Table1[[#This Row],[RegisteredVoters]]</f>
        <v>0.97033898305084743</v>
      </c>
      <c r="O531" t="str">
        <f>IF(Table1[[#This Row],[RegisteredVoters]]=Table1[[#This Row],[TotalVotesCast]],"Match","")</f>
        <v/>
      </c>
    </row>
    <row r="532" spans="1:15" ht="13.2">
      <c r="A532" s="1" t="s">
        <v>627</v>
      </c>
      <c r="B532" t="s">
        <v>10</v>
      </c>
      <c r="C532" t="s">
        <v>14</v>
      </c>
      <c r="D532" t="s">
        <v>548</v>
      </c>
      <c r="E532">
        <v>630</v>
      </c>
      <c r="F532">
        <v>305</v>
      </c>
      <c r="G532">
        <v>285</v>
      </c>
      <c r="H532">
        <v>15</v>
      </c>
      <c r="I532">
        <v>605</v>
      </c>
      <c r="J532" s="8">
        <f>Table1[[#This Row],[PartyAVotes]]/Table1[[#This Row],[RegisteredVoters]]</f>
        <v>0.48412698412698413</v>
      </c>
      <c r="K532" s="8">
        <f>Table1[[#This Row],[PartyBVotes]]/Table1[[#This Row],[RegisteredVoters]]</f>
        <v>0.45238095238095238</v>
      </c>
      <c r="L532" s="8">
        <f>Table1[[#This Row],[PartyCVotes]]/Table1[[#This Row],[RegisteredVoters]]</f>
        <v>2.3809523809523808E-2</v>
      </c>
      <c r="M532">
        <f>ABS(Table1[[#This Row],[PartyAVotes]]-Table1[[#This Row],[PartyBVotes]])</f>
        <v>20</v>
      </c>
      <c r="N532" s="11">
        <f>Table1[[#This Row],[TotalVotesCast]]/Table1[[#This Row],[RegisteredVoters]]</f>
        <v>0.96031746031746035</v>
      </c>
      <c r="O532" t="str">
        <f>IF(Table1[[#This Row],[RegisteredVoters]]=Table1[[#This Row],[TotalVotesCast]],"Match","")</f>
        <v/>
      </c>
    </row>
    <row r="533" spans="1:15" ht="13.2">
      <c r="A533" s="1" t="s">
        <v>628</v>
      </c>
      <c r="B533" t="s">
        <v>15</v>
      </c>
      <c r="C533" t="s">
        <v>17</v>
      </c>
      <c r="D533" t="s">
        <v>530</v>
      </c>
      <c r="E533">
        <v>680</v>
      </c>
      <c r="F533">
        <v>335</v>
      </c>
      <c r="G533">
        <v>315</v>
      </c>
      <c r="H533">
        <v>15</v>
      </c>
      <c r="I533">
        <v>665</v>
      </c>
      <c r="J533" s="8">
        <f>Table1[[#This Row],[PartyAVotes]]/Table1[[#This Row],[RegisteredVoters]]</f>
        <v>0.49264705882352944</v>
      </c>
      <c r="K533" s="8">
        <f>Table1[[#This Row],[PartyBVotes]]/Table1[[#This Row],[RegisteredVoters]]</f>
        <v>0.46323529411764708</v>
      </c>
      <c r="L533" s="8">
        <f>Table1[[#This Row],[PartyCVotes]]/Table1[[#This Row],[RegisteredVoters]]</f>
        <v>2.2058823529411766E-2</v>
      </c>
      <c r="M533">
        <f>ABS(Table1[[#This Row],[PartyAVotes]]-Table1[[#This Row],[PartyBVotes]])</f>
        <v>20</v>
      </c>
      <c r="N533" s="11">
        <f>Table1[[#This Row],[TotalVotesCast]]/Table1[[#This Row],[RegisteredVoters]]</f>
        <v>0.9779411764705882</v>
      </c>
      <c r="O533" t="str">
        <f>IF(Table1[[#This Row],[RegisteredVoters]]=Table1[[#This Row],[TotalVotesCast]],"Match","")</f>
        <v/>
      </c>
    </row>
    <row r="534" spans="1:15" ht="13.2">
      <c r="A534" s="1" t="s">
        <v>629</v>
      </c>
      <c r="B534" t="s">
        <v>18</v>
      </c>
      <c r="C534" t="s">
        <v>19</v>
      </c>
      <c r="D534" t="s">
        <v>557</v>
      </c>
      <c r="E534">
        <v>950</v>
      </c>
      <c r="F534">
        <v>470</v>
      </c>
      <c r="G534">
        <v>445</v>
      </c>
      <c r="H534">
        <v>20</v>
      </c>
      <c r="I534">
        <v>935</v>
      </c>
      <c r="J534" s="8">
        <f>Table1[[#This Row],[PartyAVotes]]/Table1[[#This Row],[RegisteredVoters]]</f>
        <v>0.49473684210526314</v>
      </c>
      <c r="K534" s="8">
        <f>Table1[[#This Row],[PartyBVotes]]/Table1[[#This Row],[RegisteredVoters]]</f>
        <v>0.46842105263157896</v>
      </c>
      <c r="L534" s="8">
        <f>Table1[[#This Row],[PartyCVotes]]/Table1[[#This Row],[RegisteredVoters]]</f>
        <v>2.1052631578947368E-2</v>
      </c>
      <c r="M534">
        <f>ABS(Table1[[#This Row],[PartyAVotes]]-Table1[[#This Row],[PartyBVotes]])</f>
        <v>25</v>
      </c>
      <c r="N534" s="11">
        <f>Table1[[#This Row],[TotalVotesCast]]/Table1[[#This Row],[RegisteredVoters]]</f>
        <v>0.98421052631578942</v>
      </c>
      <c r="O534" t="str">
        <f>IF(Table1[[#This Row],[RegisteredVoters]]=Table1[[#This Row],[TotalVotesCast]],"Match","")</f>
        <v/>
      </c>
    </row>
    <row r="535" spans="1:15" ht="13.2">
      <c r="A535" s="1" t="s">
        <v>630</v>
      </c>
      <c r="B535" t="s">
        <v>21</v>
      </c>
      <c r="C535" t="s">
        <v>23</v>
      </c>
      <c r="D535" t="s">
        <v>539</v>
      </c>
      <c r="E535">
        <v>1010</v>
      </c>
      <c r="F535">
        <v>500</v>
      </c>
      <c r="G535">
        <v>475</v>
      </c>
      <c r="H535">
        <v>20</v>
      </c>
      <c r="I535">
        <v>995</v>
      </c>
      <c r="J535" s="8">
        <f>Table1[[#This Row],[PartyAVotes]]/Table1[[#This Row],[RegisteredVoters]]</f>
        <v>0.49504950495049505</v>
      </c>
      <c r="K535" s="8">
        <f>Table1[[#This Row],[PartyBVotes]]/Table1[[#This Row],[RegisteredVoters]]</f>
        <v>0.47029702970297027</v>
      </c>
      <c r="L535" s="8">
        <f>Table1[[#This Row],[PartyCVotes]]/Table1[[#This Row],[RegisteredVoters]]</f>
        <v>1.9801980198019802E-2</v>
      </c>
      <c r="M535">
        <f>ABS(Table1[[#This Row],[PartyAVotes]]-Table1[[#This Row],[PartyBVotes]])</f>
        <v>25</v>
      </c>
      <c r="N535" s="11">
        <f>Table1[[#This Row],[TotalVotesCast]]/Table1[[#This Row],[RegisteredVoters]]</f>
        <v>0.98514851485148514</v>
      </c>
      <c r="O535" t="str">
        <f>IF(Table1[[#This Row],[RegisteredVoters]]=Table1[[#This Row],[TotalVotesCast]],"Match","")</f>
        <v/>
      </c>
    </row>
    <row r="536" spans="1:15" ht="13.2">
      <c r="A536" s="1" t="s">
        <v>631</v>
      </c>
      <c r="B536" t="s">
        <v>10</v>
      </c>
      <c r="C536" t="s">
        <v>11</v>
      </c>
      <c r="D536" t="s">
        <v>598</v>
      </c>
      <c r="E536">
        <v>540</v>
      </c>
      <c r="F536">
        <v>260</v>
      </c>
      <c r="G536">
        <v>240</v>
      </c>
      <c r="H536">
        <v>10</v>
      </c>
      <c r="I536">
        <v>510</v>
      </c>
      <c r="J536" s="8">
        <f>Table1[[#This Row],[PartyAVotes]]/Table1[[#This Row],[RegisteredVoters]]</f>
        <v>0.48148148148148145</v>
      </c>
      <c r="K536" s="8">
        <f>Table1[[#This Row],[PartyBVotes]]/Table1[[#This Row],[RegisteredVoters]]</f>
        <v>0.44444444444444442</v>
      </c>
      <c r="L536" s="8">
        <f>Table1[[#This Row],[PartyCVotes]]/Table1[[#This Row],[RegisteredVoters]]</f>
        <v>1.8518518518518517E-2</v>
      </c>
      <c r="M536">
        <f>ABS(Table1[[#This Row],[PartyAVotes]]-Table1[[#This Row],[PartyBVotes]])</f>
        <v>20</v>
      </c>
      <c r="N536" s="11">
        <f>Table1[[#This Row],[TotalVotesCast]]/Table1[[#This Row],[RegisteredVoters]]</f>
        <v>0.94444444444444442</v>
      </c>
      <c r="O536" t="str">
        <f>IF(Table1[[#This Row],[RegisteredVoters]]=Table1[[#This Row],[TotalVotesCast]],"Match","")</f>
        <v/>
      </c>
    </row>
    <row r="537" spans="1:15" ht="13.2">
      <c r="A537" s="1" t="s">
        <v>632</v>
      </c>
      <c r="B537" t="s">
        <v>15</v>
      </c>
      <c r="C537" t="s">
        <v>16</v>
      </c>
      <c r="D537" t="s">
        <v>598</v>
      </c>
      <c r="E537">
        <v>840</v>
      </c>
      <c r="F537">
        <v>410</v>
      </c>
      <c r="G537">
        <v>390</v>
      </c>
      <c r="H537">
        <v>15</v>
      </c>
      <c r="I537">
        <v>815</v>
      </c>
      <c r="J537" s="8">
        <f>Table1[[#This Row],[PartyAVotes]]/Table1[[#This Row],[RegisteredVoters]]</f>
        <v>0.48809523809523808</v>
      </c>
      <c r="K537" s="8">
        <f>Table1[[#This Row],[PartyBVotes]]/Table1[[#This Row],[RegisteredVoters]]</f>
        <v>0.4642857142857143</v>
      </c>
      <c r="L537" s="8">
        <f>Table1[[#This Row],[PartyCVotes]]/Table1[[#This Row],[RegisteredVoters]]</f>
        <v>1.7857142857142856E-2</v>
      </c>
      <c r="M537">
        <f>ABS(Table1[[#This Row],[PartyAVotes]]-Table1[[#This Row],[PartyBVotes]])</f>
        <v>20</v>
      </c>
      <c r="N537" s="11">
        <f>Table1[[#This Row],[TotalVotesCast]]/Table1[[#This Row],[RegisteredVoters]]</f>
        <v>0.97023809523809523</v>
      </c>
      <c r="O537" t="str">
        <f>IF(Table1[[#This Row],[RegisteredVoters]]=Table1[[#This Row],[TotalVotesCast]],"Match","")</f>
        <v/>
      </c>
    </row>
    <row r="538" spans="1:15" ht="13.2">
      <c r="A538" s="1" t="s">
        <v>633</v>
      </c>
      <c r="B538" t="s">
        <v>18</v>
      </c>
      <c r="C538" t="s">
        <v>20</v>
      </c>
      <c r="D538" t="s">
        <v>634</v>
      </c>
      <c r="E538">
        <v>930</v>
      </c>
      <c r="F538">
        <v>460</v>
      </c>
      <c r="G538">
        <v>440</v>
      </c>
      <c r="H538">
        <v>15</v>
      </c>
      <c r="I538">
        <v>915</v>
      </c>
      <c r="J538" s="8">
        <f>Table1[[#This Row],[PartyAVotes]]/Table1[[#This Row],[RegisteredVoters]]</f>
        <v>0.4946236559139785</v>
      </c>
      <c r="K538" s="8">
        <f>Table1[[#This Row],[PartyBVotes]]/Table1[[#This Row],[RegisteredVoters]]</f>
        <v>0.4731182795698925</v>
      </c>
      <c r="L538" s="8">
        <f>Table1[[#This Row],[PartyCVotes]]/Table1[[#This Row],[RegisteredVoters]]</f>
        <v>1.6129032258064516E-2</v>
      </c>
      <c r="M538">
        <f>ABS(Table1[[#This Row],[PartyAVotes]]-Table1[[#This Row],[PartyBVotes]])</f>
        <v>20</v>
      </c>
      <c r="N538" s="11">
        <f>Table1[[#This Row],[TotalVotesCast]]/Table1[[#This Row],[RegisteredVoters]]</f>
        <v>0.9838709677419355</v>
      </c>
      <c r="O538" t="str">
        <f>IF(Table1[[#This Row],[RegisteredVoters]]=Table1[[#This Row],[TotalVotesCast]],"Match","")</f>
        <v/>
      </c>
    </row>
    <row r="539" spans="1:15" ht="13.2">
      <c r="A539" s="1" t="s">
        <v>635</v>
      </c>
      <c r="B539" t="s">
        <v>21</v>
      </c>
      <c r="C539" t="s">
        <v>22</v>
      </c>
      <c r="D539" t="s">
        <v>593</v>
      </c>
      <c r="E539">
        <v>1190</v>
      </c>
      <c r="F539">
        <v>580</v>
      </c>
      <c r="G539">
        <v>550</v>
      </c>
      <c r="H539">
        <v>25</v>
      </c>
      <c r="I539">
        <v>1155</v>
      </c>
      <c r="J539" s="8">
        <f>Table1[[#This Row],[PartyAVotes]]/Table1[[#This Row],[RegisteredVoters]]</f>
        <v>0.48739495798319327</v>
      </c>
      <c r="K539" s="8">
        <f>Table1[[#This Row],[PartyBVotes]]/Table1[[#This Row],[RegisteredVoters]]</f>
        <v>0.46218487394957986</v>
      </c>
      <c r="L539" s="8">
        <f>Table1[[#This Row],[PartyCVotes]]/Table1[[#This Row],[RegisteredVoters]]</f>
        <v>2.100840336134454E-2</v>
      </c>
      <c r="M539">
        <f>ABS(Table1[[#This Row],[PartyAVotes]]-Table1[[#This Row],[PartyBVotes]])</f>
        <v>30</v>
      </c>
      <c r="N539" s="11">
        <f>Table1[[#This Row],[TotalVotesCast]]/Table1[[#This Row],[RegisteredVoters]]</f>
        <v>0.97058823529411764</v>
      </c>
      <c r="O539" t="str">
        <f>IF(Table1[[#This Row],[RegisteredVoters]]=Table1[[#This Row],[TotalVotesCast]],"Match","")</f>
        <v/>
      </c>
    </row>
    <row r="540" spans="1:15" ht="13.2">
      <c r="A540" s="1" t="s">
        <v>636</v>
      </c>
      <c r="B540" t="s">
        <v>10</v>
      </c>
      <c r="C540" t="s">
        <v>14</v>
      </c>
      <c r="D540" t="s">
        <v>557</v>
      </c>
      <c r="E540">
        <v>640</v>
      </c>
      <c r="F540">
        <v>310</v>
      </c>
      <c r="G540">
        <v>290</v>
      </c>
      <c r="H540">
        <v>15</v>
      </c>
      <c r="I540">
        <v>615</v>
      </c>
      <c r="J540" s="8">
        <f>Table1[[#This Row],[PartyAVotes]]/Table1[[#This Row],[RegisteredVoters]]</f>
        <v>0.484375</v>
      </c>
      <c r="K540" s="8">
        <f>Table1[[#This Row],[PartyBVotes]]/Table1[[#This Row],[RegisteredVoters]]</f>
        <v>0.453125</v>
      </c>
      <c r="L540" s="8">
        <f>Table1[[#This Row],[PartyCVotes]]/Table1[[#This Row],[RegisteredVoters]]</f>
        <v>2.34375E-2</v>
      </c>
      <c r="M540">
        <f>ABS(Table1[[#This Row],[PartyAVotes]]-Table1[[#This Row],[PartyBVotes]])</f>
        <v>20</v>
      </c>
      <c r="N540" s="11">
        <f>Table1[[#This Row],[TotalVotesCast]]/Table1[[#This Row],[RegisteredVoters]]</f>
        <v>0.9609375</v>
      </c>
      <c r="O540" t="str">
        <f>IF(Table1[[#This Row],[RegisteredVoters]]=Table1[[#This Row],[TotalVotesCast]],"Match","")</f>
        <v/>
      </c>
    </row>
    <row r="541" spans="1:15" ht="13.2">
      <c r="A541" s="1" t="s">
        <v>637</v>
      </c>
      <c r="B541" t="s">
        <v>15</v>
      </c>
      <c r="C541" t="s">
        <v>17</v>
      </c>
      <c r="D541" t="s">
        <v>539</v>
      </c>
      <c r="E541">
        <v>690</v>
      </c>
      <c r="F541">
        <v>340</v>
      </c>
      <c r="G541">
        <v>320</v>
      </c>
      <c r="H541">
        <v>15</v>
      </c>
      <c r="I541">
        <v>675</v>
      </c>
      <c r="J541" s="8">
        <f>Table1[[#This Row],[PartyAVotes]]/Table1[[#This Row],[RegisteredVoters]]</f>
        <v>0.49275362318840582</v>
      </c>
      <c r="K541" s="8">
        <f>Table1[[#This Row],[PartyBVotes]]/Table1[[#This Row],[RegisteredVoters]]</f>
        <v>0.46376811594202899</v>
      </c>
      <c r="L541" s="8">
        <f>Table1[[#This Row],[PartyCVotes]]/Table1[[#This Row],[RegisteredVoters]]</f>
        <v>2.1739130434782608E-2</v>
      </c>
      <c r="M541">
        <f>ABS(Table1[[#This Row],[PartyAVotes]]-Table1[[#This Row],[PartyBVotes]])</f>
        <v>20</v>
      </c>
      <c r="N541" s="11">
        <f>Table1[[#This Row],[TotalVotesCast]]/Table1[[#This Row],[RegisteredVoters]]</f>
        <v>0.97826086956521741</v>
      </c>
      <c r="O541" t="str">
        <f>IF(Table1[[#This Row],[RegisteredVoters]]=Table1[[#This Row],[TotalVotesCast]],"Match","")</f>
        <v/>
      </c>
    </row>
    <row r="542" spans="1:15" ht="13.2">
      <c r="A542" s="1" t="s">
        <v>638</v>
      </c>
      <c r="B542" t="s">
        <v>18</v>
      </c>
      <c r="C542" t="s">
        <v>19</v>
      </c>
      <c r="D542" t="s">
        <v>566</v>
      </c>
      <c r="E542">
        <v>960</v>
      </c>
      <c r="F542">
        <v>475</v>
      </c>
      <c r="G542">
        <v>450</v>
      </c>
      <c r="H542">
        <v>20</v>
      </c>
      <c r="I542">
        <v>945</v>
      </c>
      <c r="J542" s="8">
        <f>Table1[[#This Row],[PartyAVotes]]/Table1[[#This Row],[RegisteredVoters]]</f>
        <v>0.49479166666666669</v>
      </c>
      <c r="K542" s="8">
        <f>Table1[[#This Row],[PartyBVotes]]/Table1[[#This Row],[RegisteredVoters]]</f>
        <v>0.46875</v>
      </c>
      <c r="L542" s="8">
        <f>Table1[[#This Row],[PartyCVotes]]/Table1[[#This Row],[RegisteredVoters]]</f>
        <v>2.0833333333333332E-2</v>
      </c>
      <c r="M542">
        <f>ABS(Table1[[#This Row],[PartyAVotes]]-Table1[[#This Row],[PartyBVotes]])</f>
        <v>25</v>
      </c>
      <c r="N542" s="11">
        <f>Table1[[#This Row],[TotalVotesCast]]/Table1[[#This Row],[RegisteredVoters]]</f>
        <v>0.984375</v>
      </c>
      <c r="O542" t="str">
        <f>IF(Table1[[#This Row],[RegisteredVoters]]=Table1[[#This Row],[TotalVotesCast]],"Match","")</f>
        <v/>
      </c>
    </row>
    <row r="543" spans="1:15" ht="13.2">
      <c r="A543" s="1" t="s">
        <v>639</v>
      </c>
      <c r="B543" t="s">
        <v>21</v>
      </c>
      <c r="C543" t="s">
        <v>23</v>
      </c>
      <c r="D543" t="s">
        <v>548</v>
      </c>
      <c r="E543">
        <v>1020</v>
      </c>
      <c r="F543">
        <v>505</v>
      </c>
      <c r="G543">
        <v>480</v>
      </c>
      <c r="H543">
        <v>20</v>
      </c>
      <c r="I543">
        <v>1005</v>
      </c>
      <c r="J543" s="8">
        <f>Table1[[#This Row],[PartyAVotes]]/Table1[[#This Row],[RegisteredVoters]]</f>
        <v>0.49509803921568629</v>
      </c>
      <c r="K543" s="8">
        <f>Table1[[#This Row],[PartyBVotes]]/Table1[[#This Row],[RegisteredVoters]]</f>
        <v>0.47058823529411764</v>
      </c>
      <c r="L543" s="8">
        <f>Table1[[#This Row],[PartyCVotes]]/Table1[[#This Row],[RegisteredVoters]]</f>
        <v>1.9607843137254902E-2</v>
      </c>
      <c r="M543">
        <f>ABS(Table1[[#This Row],[PartyAVotes]]-Table1[[#This Row],[PartyBVotes]])</f>
        <v>25</v>
      </c>
      <c r="N543" s="11">
        <f>Table1[[#This Row],[TotalVotesCast]]/Table1[[#This Row],[RegisteredVoters]]</f>
        <v>0.98529411764705888</v>
      </c>
      <c r="O543" t="str">
        <f>IF(Table1[[#This Row],[RegisteredVoters]]=Table1[[#This Row],[TotalVotesCast]],"Match","")</f>
        <v/>
      </c>
    </row>
    <row r="544" spans="1:15" ht="13.2">
      <c r="A544" s="1" t="s">
        <v>640</v>
      </c>
      <c r="B544" t="s">
        <v>10</v>
      </c>
      <c r="C544" t="s">
        <v>11</v>
      </c>
      <c r="D544" t="s">
        <v>607</v>
      </c>
      <c r="E544">
        <v>550</v>
      </c>
      <c r="F544">
        <v>265</v>
      </c>
      <c r="G544">
        <v>245</v>
      </c>
      <c r="H544">
        <v>10</v>
      </c>
      <c r="I544">
        <v>520</v>
      </c>
      <c r="J544" s="8">
        <f>Table1[[#This Row],[PartyAVotes]]/Table1[[#This Row],[RegisteredVoters]]</f>
        <v>0.48181818181818181</v>
      </c>
      <c r="K544" s="8">
        <f>Table1[[#This Row],[PartyBVotes]]/Table1[[#This Row],[RegisteredVoters]]</f>
        <v>0.44545454545454544</v>
      </c>
      <c r="L544" s="8">
        <f>Table1[[#This Row],[PartyCVotes]]/Table1[[#This Row],[RegisteredVoters]]</f>
        <v>1.8181818181818181E-2</v>
      </c>
      <c r="M544">
        <f>ABS(Table1[[#This Row],[PartyAVotes]]-Table1[[#This Row],[PartyBVotes]])</f>
        <v>20</v>
      </c>
      <c r="N544" s="11">
        <f>Table1[[#This Row],[TotalVotesCast]]/Table1[[#This Row],[RegisteredVoters]]</f>
        <v>0.94545454545454544</v>
      </c>
      <c r="O544" t="str">
        <f>IF(Table1[[#This Row],[RegisteredVoters]]=Table1[[#This Row],[TotalVotesCast]],"Match","")</f>
        <v/>
      </c>
    </row>
    <row r="545" spans="1:15" ht="13.2">
      <c r="A545" s="1" t="s">
        <v>641</v>
      </c>
      <c r="B545" t="s">
        <v>15</v>
      </c>
      <c r="C545" t="s">
        <v>16</v>
      </c>
      <c r="D545" t="s">
        <v>607</v>
      </c>
      <c r="E545">
        <v>850</v>
      </c>
      <c r="F545">
        <v>415</v>
      </c>
      <c r="G545">
        <v>395</v>
      </c>
      <c r="H545">
        <v>15</v>
      </c>
      <c r="I545">
        <v>825</v>
      </c>
      <c r="J545" s="8">
        <f>Table1[[#This Row],[PartyAVotes]]/Table1[[#This Row],[RegisteredVoters]]</f>
        <v>0.48823529411764705</v>
      </c>
      <c r="K545" s="8">
        <f>Table1[[#This Row],[PartyBVotes]]/Table1[[#This Row],[RegisteredVoters]]</f>
        <v>0.46470588235294119</v>
      </c>
      <c r="L545" s="8">
        <f>Table1[[#This Row],[PartyCVotes]]/Table1[[#This Row],[RegisteredVoters]]</f>
        <v>1.7647058823529412E-2</v>
      </c>
      <c r="M545">
        <f>ABS(Table1[[#This Row],[PartyAVotes]]-Table1[[#This Row],[PartyBVotes]])</f>
        <v>20</v>
      </c>
      <c r="N545" s="11">
        <f>Table1[[#This Row],[TotalVotesCast]]/Table1[[#This Row],[RegisteredVoters]]</f>
        <v>0.97058823529411764</v>
      </c>
      <c r="O545" t="str">
        <f>IF(Table1[[#This Row],[RegisteredVoters]]=Table1[[#This Row],[TotalVotesCast]],"Match","")</f>
        <v/>
      </c>
    </row>
    <row r="546" spans="1:15" ht="13.2">
      <c r="A546" s="1" t="s">
        <v>642</v>
      </c>
      <c r="B546" t="s">
        <v>18</v>
      </c>
      <c r="C546" t="s">
        <v>20</v>
      </c>
      <c r="D546" t="s">
        <v>643</v>
      </c>
      <c r="E546">
        <v>940</v>
      </c>
      <c r="F546">
        <v>465</v>
      </c>
      <c r="G546">
        <v>445</v>
      </c>
      <c r="H546">
        <v>15</v>
      </c>
      <c r="I546">
        <v>925</v>
      </c>
      <c r="J546" s="8">
        <f>Table1[[#This Row],[PartyAVotes]]/Table1[[#This Row],[RegisteredVoters]]</f>
        <v>0.49468085106382981</v>
      </c>
      <c r="K546" s="8">
        <f>Table1[[#This Row],[PartyBVotes]]/Table1[[#This Row],[RegisteredVoters]]</f>
        <v>0.47340425531914893</v>
      </c>
      <c r="L546" s="8">
        <f>Table1[[#This Row],[PartyCVotes]]/Table1[[#This Row],[RegisteredVoters]]</f>
        <v>1.5957446808510637E-2</v>
      </c>
      <c r="M546">
        <f>ABS(Table1[[#This Row],[PartyAVotes]]-Table1[[#This Row],[PartyBVotes]])</f>
        <v>20</v>
      </c>
      <c r="N546" s="11">
        <f>Table1[[#This Row],[TotalVotesCast]]/Table1[[#This Row],[RegisteredVoters]]</f>
        <v>0.98404255319148937</v>
      </c>
      <c r="O546" t="str">
        <f>IF(Table1[[#This Row],[RegisteredVoters]]=Table1[[#This Row],[TotalVotesCast]],"Match","")</f>
        <v/>
      </c>
    </row>
    <row r="547" spans="1:15" ht="13.2">
      <c r="A547" s="1" t="s">
        <v>644</v>
      </c>
      <c r="B547" t="s">
        <v>21</v>
      </c>
      <c r="C547" t="s">
        <v>22</v>
      </c>
      <c r="D547" t="s">
        <v>598</v>
      </c>
      <c r="E547">
        <v>1200</v>
      </c>
      <c r="F547">
        <v>585</v>
      </c>
      <c r="G547">
        <v>555</v>
      </c>
      <c r="H547">
        <v>25</v>
      </c>
      <c r="I547">
        <v>1165</v>
      </c>
      <c r="J547" s="8">
        <f>Table1[[#This Row],[PartyAVotes]]/Table1[[#This Row],[RegisteredVoters]]</f>
        <v>0.48749999999999999</v>
      </c>
      <c r="K547" s="8">
        <f>Table1[[#This Row],[PartyBVotes]]/Table1[[#This Row],[RegisteredVoters]]</f>
        <v>0.46250000000000002</v>
      </c>
      <c r="L547" s="8">
        <f>Table1[[#This Row],[PartyCVotes]]/Table1[[#This Row],[RegisteredVoters]]</f>
        <v>2.0833333333333332E-2</v>
      </c>
      <c r="M547">
        <f>ABS(Table1[[#This Row],[PartyAVotes]]-Table1[[#This Row],[PartyBVotes]])</f>
        <v>30</v>
      </c>
      <c r="N547" s="11">
        <f>Table1[[#This Row],[TotalVotesCast]]/Table1[[#This Row],[RegisteredVoters]]</f>
        <v>0.97083333333333333</v>
      </c>
      <c r="O547" t="str">
        <f>IF(Table1[[#This Row],[RegisteredVoters]]=Table1[[#This Row],[TotalVotesCast]],"Match","")</f>
        <v/>
      </c>
    </row>
    <row r="548" spans="1:15" ht="13.2">
      <c r="A548" s="1" t="s">
        <v>645</v>
      </c>
      <c r="B548" t="s">
        <v>10</v>
      </c>
      <c r="C548" t="s">
        <v>14</v>
      </c>
      <c r="D548" t="s">
        <v>566</v>
      </c>
      <c r="E548">
        <v>650</v>
      </c>
      <c r="F548">
        <v>315</v>
      </c>
      <c r="G548">
        <v>295</v>
      </c>
      <c r="H548">
        <v>15</v>
      </c>
      <c r="I548">
        <v>625</v>
      </c>
      <c r="J548" s="8">
        <f>Table1[[#This Row],[PartyAVotes]]/Table1[[#This Row],[RegisteredVoters]]</f>
        <v>0.48461538461538461</v>
      </c>
      <c r="K548" s="8">
        <f>Table1[[#This Row],[PartyBVotes]]/Table1[[#This Row],[RegisteredVoters]]</f>
        <v>0.45384615384615384</v>
      </c>
      <c r="L548" s="8">
        <f>Table1[[#This Row],[PartyCVotes]]/Table1[[#This Row],[RegisteredVoters]]</f>
        <v>2.3076923076923078E-2</v>
      </c>
      <c r="M548">
        <f>ABS(Table1[[#This Row],[PartyAVotes]]-Table1[[#This Row],[PartyBVotes]])</f>
        <v>20</v>
      </c>
      <c r="N548" s="11">
        <f>Table1[[#This Row],[TotalVotesCast]]/Table1[[#This Row],[RegisteredVoters]]</f>
        <v>0.96153846153846156</v>
      </c>
      <c r="O548" t="str">
        <f>IF(Table1[[#This Row],[RegisteredVoters]]=Table1[[#This Row],[TotalVotesCast]],"Match","")</f>
        <v/>
      </c>
    </row>
    <row r="549" spans="1:15" ht="13.2">
      <c r="A549" s="1" t="s">
        <v>646</v>
      </c>
      <c r="B549" t="s">
        <v>15</v>
      </c>
      <c r="C549" t="s">
        <v>17</v>
      </c>
      <c r="D549" t="s">
        <v>548</v>
      </c>
      <c r="E549">
        <v>700</v>
      </c>
      <c r="F549">
        <v>345</v>
      </c>
      <c r="G549">
        <v>325</v>
      </c>
      <c r="H549">
        <v>15</v>
      </c>
      <c r="I549">
        <v>685</v>
      </c>
      <c r="J549" s="8">
        <f>Table1[[#This Row],[PartyAVotes]]/Table1[[#This Row],[RegisteredVoters]]</f>
        <v>0.49285714285714288</v>
      </c>
      <c r="K549" s="8">
        <f>Table1[[#This Row],[PartyBVotes]]/Table1[[#This Row],[RegisteredVoters]]</f>
        <v>0.4642857142857143</v>
      </c>
      <c r="L549" s="8">
        <f>Table1[[#This Row],[PartyCVotes]]/Table1[[#This Row],[RegisteredVoters]]</f>
        <v>2.1428571428571429E-2</v>
      </c>
      <c r="M549">
        <f>ABS(Table1[[#This Row],[PartyAVotes]]-Table1[[#This Row],[PartyBVotes]])</f>
        <v>20</v>
      </c>
      <c r="N549" s="11">
        <f>Table1[[#This Row],[TotalVotesCast]]/Table1[[#This Row],[RegisteredVoters]]</f>
        <v>0.97857142857142854</v>
      </c>
      <c r="O549" t="str">
        <f>IF(Table1[[#This Row],[RegisteredVoters]]=Table1[[#This Row],[TotalVotesCast]],"Match","")</f>
        <v/>
      </c>
    </row>
    <row r="550" spans="1:15" ht="13.2">
      <c r="A550" s="1" t="s">
        <v>647</v>
      </c>
      <c r="B550" t="s">
        <v>18</v>
      </c>
      <c r="C550" t="s">
        <v>19</v>
      </c>
      <c r="D550" t="s">
        <v>575</v>
      </c>
      <c r="E550">
        <v>970</v>
      </c>
      <c r="F550">
        <v>480</v>
      </c>
      <c r="G550">
        <v>455</v>
      </c>
      <c r="H550">
        <v>20</v>
      </c>
      <c r="I550">
        <v>955</v>
      </c>
      <c r="J550" s="8">
        <f>Table1[[#This Row],[PartyAVotes]]/Table1[[#This Row],[RegisteredVoters]]</f>
        <v>0.49484536082474229</v>
      </c>
      <c r="K550" s="8">
        <f>Table1[[#This Row],[PartyBVotes]]/Table1[[#This Row],[RegisteredVoters]]</f>
        <v>0.46907216494845361</v>
      </c>
      <c r="L550" s="8">
        <f>Table1[[#This Row],[PartyCVotes]]/Table1[[#This Row],[RegisteredVoters]]</f>
        <v>2.0618556701030927E-2</v>
      </c>
      <c r="M550">
        <f>ABS(Table1[[#This Row],[PartyAVotes]]-Table1[[#This Row],[PartyBVotes]])</f>
        <v>25</v>
      </c>
      <c r="N550" s="11">
        <f>Table1[[#This Row],[TotalVotesCast]]/Table1[[#This Row],[RegisteredVoters]]</f>
        <v>0.98453608247422686</v>
      </c>
      <c r="O550" t="str">
        <f>IF(Table1[[#This Row],[RegisteredVoters]]=Table1[[#This Row],[TotalVotesCast]],"Match","")</f>
        <v/>
      </c>
    </row>
    <row r="551" spans="1:15" ht="13.2">
      <c r="A551" s="1" t="s">
        <v>648</v>
      </c>
      <c r="B551" t="s">
        <v>21</v>
      </c>
      <c r="C551" t="s">
        <v>23</v>
      </c>
      <c r="D551" t="s">
        <v>557</v>
      </c>
      <c r="E551">
        <v>1030</v>
      </c>
      <c r="F551">
        <v>510</v>
      </c>
      <c r="G551">
        <v>485</v>
      </c>
      <c r="H551">
        <v>20</v>
      </c>
      <c r="I551">
        <v>1015</v>
      </c>
      <c r="J551" s="8">
        <f>Table1[[#This Row],[PartyAVotes]]/Table1[[#This Row],[RegisteredVoters]]</f>
        <v>0.49514563106796117</v>
      </c>
      <c r="K551" s="8">
        <f>Table1[[#This Row],[PartyBVotes]]/Table1[[#This Row],[RegisteredVoters]]</f>
        <v>0.470873786407767</v>
      </c>
      <c r="L551" s="8">
        <f>Table1[[#This Row],[PartyCVotes]]/Table1[[#This Row],[RegisteredVoters]]</f>
        <v>1.9417475728155338E-2</v>
      </c>
      <c r="M551">
        <f>ABS(Table1[[#This Row],[PartyAVotes]]-Table1[[#This Row],[PartyBVotes]])</f>
        <v>25</v>
      </c>
      <c r="N551" s="11">
        <f>Table1[[#This Row],[TotalVotesCast]]/Table1[[#This Row],[RegisteredVoters]]</f>
        <v>0.9854368932038835</v>
      </c>
      <c r="O551" t="str">
        <f>IF(Table1[[#This Row],[RegisteredVoters]]=Table1[[#This Row],[TotalVotesCast]],"Match","")</f>
        <v/>
      </c>
    </row>
    <row r="552" spans="1:15" ht="13.2">
      <c r="A552" s="1" t="s">
        <v>649</v>
      </c>
      <c r="B552" t="s">
        <v>10</v>
      </c>
      <c r="C552" t="s">
        <v>11</v>
      </c>
      <c r="D552" t="s">
        <v>616</v>
      </c>
      <c r="E552">
        <v>560</v>
      </c>
      <c r="F552">
        <v>270</v>
      </c>
      <c r="G552">
        <v>250</v>
      </c>
      <c r="H552">
        <v>10</v>
      </c>
      <c r="I552">
        <v>530</v>
      </c>
      <c r="J552" s="8">
        <f>Table1[[#This Row],[PartyAVotes]]/Table1[[#This Row],[RegisteredVoters]]</f>
        <v>0.48214285714285715</v>
      </c>
      <c r="K552" s="8">
        <f>Table1[[#This Row],[PartyBVotes]]/Table1[[#This Row],[RegisteredVoters]]</f>
        <v>0.44642857142857145</v>
      </c>
      <c r="L552" s="8">
        <f>Table1[[#This Row],[PartyCVotes]]/Table1[[#This Row],[RegisteredVoters]]</f>
        <v>1.7857142857142856E-2</v>
      </c>
      <c r="M552">
        <f>ABS(Table1[[#This Row],[PartyAVotes]]-Table1[[#This Row],[PartyBVotes]])</f>
        <v>20</v>
      </c>
      <c r="N552" s="11">
        <f>Table1[[#This Row],[TotalVotesCast]]/Table1[[#This Row],[RegisteredVoters]]</f>
        <v>0.9464285714285714</v>
      </c>
      <c r="O552" t="str">
        <f>IF(Table1[[#This Row],[RegisteredVoters]]=Table1[[#This Row],[TotalVotesCast]],"Match","")</f>
        <v/>
      </c>
    </row>
    <row r="553" spans="1:15" ht="13.2">
      <c r="A553" s="1" t="s">
        <v>650</v>
      </c>
      <c r="B553" t="s">
        <v>15</v>
      </c>
      <c r="C553" t="s">
        <v>16</v>
      </c>
      <c r="D553" t="s">
        <v>616</v>
      </c>
      <c r="E553">
        <v>860</v>
      </c>
      <c r="F553">
        <v>420</v>
      </c>
      <c r="G553">
        <v>400</v>
      </c>
      <c r="H553">
        <v>15</v>
      </c>
      <c r="I553">
        <v>835</v>
      </c>
      <c r="J553" s="8">
        <f>Table1[[#This Row],[PartyAVotes]]/Table1[[#This Row],[RegisteredVoters]]</f>
        <v>0.48837209302325579</v>
      </c>
      <c r="K553" s="8">
        <f>Table1[[#This Row],[PartyBVotes]]/Table1[[#This Row],[RegisteredVoters]]</f>
        <v>0.46511627906976744</v>
      </c>
      <c r="L553" s="8">
        <f>Table1[[#This Row],[PartyCVotes]]/Table1[[#This Row],[RegisteredVoters]]</f>
        <v>1.7441860465116279E-2</v>
      </c>
      <c r="M553">
        <f>ABS(Table1[[#This Row],[PartyAVotes]]-Table1[[#This Row],[PartyBVotes]])</f>
        <v>20</v>
      </c>
      <c r="N553" s="11">
        <f>Table1[[#This Row],[TotalVotesCast]]/Table1[[#This Row],[RegisteredVoters]]</f>
        <v>0.97093023255813948</v>
      </c>
      <c r="O553" t="str">
        <f>IF(Table1[[#This Row],[RegisteredVoters]]=Table1[[#This Row],[TotalVotesCast]],"Match","")</f>
        <v/>
      </c>
    </row>
    <row r="554" spans="1:15" ht="13.2">
      <c r="A554" s="1" t="s">
        <v>651</v>
      </c>
      <c r="B554" t="s">
        <v>18</v>
      </c>
      <c r="C554" t="s">
        <v>20</v>
      </c>
      <c r="D554" t="s">
        <v>652</v>
      </c>
      <c r="E554">
        <v>950</v>
      </c>
      <c r="F554">
        <v>470</v>
      </c>
      <c r="G554">
        <v>450</v>
      </c>
      <c r="H554">
        <v>15</v>
      </c>
      <c r="I554">
        <v>935</v>
      </c>
      <c r="J554" s="8">
        <f>Table1[[#This Row],[PartyAVotes]]/Table1[[#This Row],[RegisteredVoters]]</f>
        <v>0.49473684210526314</v>
      </c>
      <c r="K554" s="8">
        <f>Table1[[#This Row],[PartyBVotes]]/Table1[[#This Row],[RegisteredVoters]]</f>
        <v>0.47368421052631576</v>
      </c>
      <c r="L554" s="8">
        <f>Table1[[#This Row],[PartyCVotes]]/Table1[[#This Row],[RegisteredVoters]]</f>
        <v>1.5789473684210527E-2</v>
      </c>
      <c r="M554">
        <f>ABS(Table1[[#This Row],[PartyAVotes]]-Table1[[#This Row],[PartyBVotes]])</f>
        <v>20</v>
      </c>
      <c r="N554" s="11">
        <f>Table1[[#This Row],[TotalVotesCast]]/Table1[[#This Row],[RegisteredVoters]]</f>
        <v>0.98421052631578942</v>
      </c>
      <c r="O554" t="str">
        <f>IF(Table1[[#This Row],[RegisteredVoters]]=Table1[[#This Row],[TotalVotesCast]],"Match","")</f>
        <v/>
      </c>
    </row>
    <row r="555" spans="1:15" ht="13.2">
      <c r="A555" s="1" t="s">
        <v>653</v>
      </c>
      <c r="B555" t="s">
        <v>21</v>
      </c>
      <c r="C555" t="s">
        <v>22</v>
      </c>
      <c r="D555" t="s">
        <v>607</v>
      </c>
      <c r="E555">
        <v>1210</v>
      </c>
      <c r="F555">
        <v>590</v>
      </c>
      <c r="G555">
        <v>560</v>
      </c>
      <c r="H555">
        <v>25</v>
      </c>
      <c r="I555">
        <v>1175</v>
      </c>
      <c r="J555" s="8">
        <f>Table1[[#This Row],[PartyAVotes]]/Table1[[#This Row],[RegisteredVoters]]</f>
        <v>0.48760330578512395</v>
      </c>
      <c r="K555" s="8">
        <f>Table1[[#This Row],[PartyBVotes]]/Table1[[#This Row],[RegisteredVoters]]</f>
        <v>0.46280991735537191</v>
      </c>
      <c r="L555" s="8">
        <f>Table1[[#This Row],[PartyCVotes]]/Table1[[#This Row],[RegisteredVoters]]</f>
        <v>2.0661157024793389E-2</v>
      </c>
      <c r="M555">
        <f>ABS(Table1[[#This Row],[PartyAVotes]]-Table1[[#This Row],[PartyBVotes]])</f>
        <v>30</v>
      </c>
      <c r="N555" s="11">
        <f>Table1[[#This Row],[TotalVotesCast]]/Table1[[#This Row],[RegisteredVoters]]</f>
        <v>0.97107438016528924</v>
      </c>
      <c r="O555" t="str">
        <f>IF(Table1[[#This Row],[RegisteredVoters]]=Table1[[#This Row],[TotalVotesCast]],"Match","")</f>
        <v/>
      </c>
    </row>
    <row r="556" spans="1:15" ht="13.2">
      <c r="A556" s="1" t="s">
        <v>654</v>
      </c>
      <c r="B556" t="s">
        <v>10</v>
      </c>
      <c r="C556" t="s">
        <v>14</v>
      </c>
      <c r="D556" t="s">
        <v>575</v>
      </c>
      <c r="E556">
        <v>660</v>
      </c>
      <c r="F556">
        <v>320</v>
      </c>
      <c r="G556">
        <v>300</v>
      </c>
      <c r="H556">
        <v>15</v>
      </c>
      <c r="I556">
        <v>635</v>
      </c>
      <c r="J556" s="8">
        <f>Table1[[#This Row],[PartyAVotes]]/Table1[[#This Row],[RegisteredVoters]]</f>
        <v>0.48484848484848486</v>
      </c>
      <c r="K556" s="8">
        <f>Table1[[#This Row],[PartyBVotes]]/Table1[[#This Row],[RegisteredVoters]]</f>
        <v>0.45454545454545453</v>
      </c>
      <c r="L556" s="8">
        <f>Table1[[#This Row],[PartyCVotes]]/Table1[[#This Row],[RegisteredVoters]]</f>
        <v>2.2727272727272728E-2</v>
      </c>
      <c r="M556">
        <f>ABS(Table1[[#This Row],[PartyAVotes]]-Table1[[#This Row],[PartyBVotes]])</f>
        <v>20</v>
      </c>
      <c r="N556" s="11">
        <f>Table1[[#This Row],[TotalVotesCast]]/Table1[[#This Row],[RegisteredVoters]]</f>
        <v>0.96212121212121215</v>
      </c>
      <c r="O556" t="str">
        <f>IF(Table1[[#This Row],[RegisteredVoters]]=Table1[[#This Row],[TotalVotesCast]],"Match","")</f>
        <v/>
      </c>
    </row>
    <row r="557" spans="1:15" ht="13.2">
      <c r="A557" s="1" t="s">
        <v>655</v>
      </c>
      <c r="B557" t="s">
        <v>15</v>
      </c>
      <c r="C557" t="s">
        <v>17</v>
      </c>
      <c r="D557" t="s">
        <v>557</v>
      </c>
      <c r="E557">
        <v>710</v>
      </c>
      <c r="F557">
        <v>350</v>
      </c>
      <c r="G557">
        <v>330</v>
      </c>
      <c r="H557">
        <v>15</v>
      </c>
      <c r="I557">
        <v>695</v>
      </c>
      <c r="J557" s="8">
        <f>Table1[[#This Row],[PartyAVotes]]/Table1[[#This Row],[RegisteredVoters]]</f>
        <v>0.49295774647887325</v>
      </c>
      <c r="K557" s="8">
        <f>Table1[[#This Row],[PartyBVotes]]/Table1[[#This Row],[RegisteredVoters]]</f>
        <v>0.46478873239436619</v>
      </c>
      <c r="L557" s="8">
        <f>Table1[[#This Row],[PartyCVotes]]/Table1[[#This Row],[RegisteredVoters]]</f>
        <v>2.1126760563380281E-2</v>
      </c>
      <c r="M557">
        <f>ABS(Table1[[#This Row],[PartyAVotes]]-Table1[[#This Row],[PartyBVotes]])</f>
        <v>20</v>
      </c>
      <c r="N557" s="11">
        <f>Table1[[#This Row],[TotalVotesCast]]/Table1[[#This Row],[RegisteredVoters]]</f>
        <v>0.97887323943661975</v>
      </c>
      <c r="O557" t="str">
        <f>IF(Table1[[#This Row],[RegisteredVoters]]=Table1[[#This Row],[TotalVotesCast]],"Match","")</f>
        <v/>
      </c>
    </row>
    <row r="558" spans="1:15" ht="13.2">
      <c r="A558" s="1" t="s">
        <v>656</v>
      </c>
      <c r="B558" t="s">
        <v>18</v>
      </c>
      <c r="C558" t="s">
        <v>19</v>
      </c>
      <c r="D558" t="s">
        <v>584</v>
      </c>
      <c r="E558">
        <v>980</v>
      </c>
      <c r="F558">
        <v>485</v>
      </c>
      <c r="G558">
        <v>460</v>
      </c>
      <c r="H558">
        <v>20</v>
      </c>
      <c r="I558">
        <v>965</v>
      </c>
      <c r="J558" s="8">
        <f>Table1[[#This Row],[PartyAVotes]]/Table1[[#This Row],[RegisteredVoters]]</f>
        <v>0.49489795918367346</v>
      </c>
      <c r="K558" s="8">
        <f>Table1[[#This Row],[PartyBVotes]]/Table1[[#This Row],[RegisteredVoters]]</f>
        <v>0.46938775510204084</v>
      </c>
      <c r="L558" s="8">
        <f>Table1[[#This Row],[PartyCVotes]]/Table1[[#This Row],[RegisteredVoters]]</f>
        <v>2.0408163265306121E-2</v>
      </c>
      <c r="M558">
        <f>ABS(Table1[[#This Row],[PartyAVotes]]-Table1[[#This Row],[PartyBVotes]])</f>
        <v>25</v>
      </c>
      <c r="N558" s="11">
        <f>Table1[[#This Row],[TotalVotesCast]]/Table1[[#This Row],[RegisteredVoters]]</f>
        <v>0.98469387755102045</v>
      </c>
      <c r="O558" t="str">
        <f>IF(Table1[[#This Row],[RegisteredVoters]]=Table1[[#This Row],[TotalVotesCast]],"Match","")</f>
        <v/>
      </c>
    </row>
    <row r="559" spans="1:15" ht="13.2">
      <c r="A559" s="1" t="s">
        <v>657</v>
      </c>
      <c r="B559" t="s">
        <v>21</v>
      </c>
      <c r="C559" t="s">
        <v>23</v>
      </c>
      <c r="D559" t="s">
        <v>566</v>
      </c>
      <c r="E559">
        <v>1040</v>
      </c>
      <c r="F559">
        <v>515</v>
      </c>
      <c r="G559">
        <v>490</v>
      </c>
      <c r="H559">
        <v>20</v>
      </c>
      <c r="I559">
        <v>1025</v>
      </c>
      <c r="J559" s="8">
        <f>Table1[[#This Row],[PartyAVotes]]/Table1[[#This Row],[RegisteredVoters]]</f>
        <v>0.49519230769230771</v>
      </c>
      <c r="K559" s="8">
        <f>Table1[[#This Row],[PartyBVotes]]/Table1[[#This Row],[RegisteredVoters]]</f>
        <v>0.47115384615384615</v>
      </c>
      <c r="L559" s="8">
        <f>Table1[[#This Row],[PartyCVotes]]/Table1[[#This Row],[RegisteredVoters]]</f>
        <v>1.9230769230769232E-2</v>
      </c>
      <c r="M559">
        <f>ABS(Table1[[#This Row],[PartyAVotes]]-Table1[[#This Row],[PartyBVotes]])</f>
        <v>25</v>
      </c>
      <c r="N559" s="11">
        <f>Table1[[#This Row],[TotalVotesCast]]/Table1[[#This Row],[RegisteredVoters]]</f>
        <v>0.98557692307692313</v>
      </c>
      <c r="O559" t="str">
        <f>IF(Table1[[#This Row],[RegisteredVoters]]=Table1[[#This Row],[TotalVotesCast]],"Match","")</f>
        <v/>
      </c>
    </row>
    <row r="560" spans="1:15" ht="13.2">
      <c r="A560" s="1" t="s">
        <v>658</v>
      </c>
      <c r="B560" t="s">
        <v>10</v>
      </c>
      <c r="C560" t="s">
        <v>11</v>
      </c>
      <c r="D560" t="s">
        <v>625</v>
      </c>
      <c r="E560">
        <v>570</v>
      </c>
      <c r="F560">
        <v>275</v>
      </c>
      <c r="G560">
        <v>255</v>
      </c>
      <c r="H560">
        <v>10</v>
      </c>
      <c r="I560">
        <v>540</v>
      </c>
      <c r="J560" s="8">
        <f>Table1[[#This Row],[PartyAVotes]]/Table1[[#This Row],[RegisteredVoters]]</f>
        <v>0.48245614035087719</v>
      </c>
      <c r="K560" s="8">
        <f>Table1[[#This Row],[PartyBVotes]]/Table1[[#This Row],[RegisteredVoters]]</f>
        <v>0.44736842105263158</v>
      </c>
      <c r="L560" s="8">
        <f>Table1[[#This Row],[PartyCVotes]]/Table1[[#This Row],[RegisteredVoters]]</f>
        <v>1.7543859649122806E-2</v>
      </c>
      <c r="M560">
        <f>ABS(Table1[[#This Row],[PartyAVotes]]-Table1[[#This Row],[PartyBVotes]])</f>
        <v>20</v>
      </c>
      <c r="N560" s="11">
        <f>Table1[[#This Row],[TotalVotesCast]]/Table1[[#This Row],[RegisteredVoters]]</f>
        <v>0.94736842105263153</v>
      </c>
      <c r="O560" t="str">
        <f>IF(Table1[[#This Row],[RegisteredVoters]]=Table1[[#This Row],[TotalVotesCast]],"Match","")</f>
        <v/>
      </c>
    </row>
    <row r="561" spans="1:15" ht="13.2">
      <c r="A561" s="1" t="s">
        <v>659</v>
      </c>
      <c r="B561" t="s">
        <v>15</v>
      </c>
      <c r="C561" t="s">
        <v>16</v>
      </c>
      <c r="D561" t="s">
        <v>625</v>
      </c>
      <c r="E561">
        <v>870</v>
      </c>
      <c r="F561">
        <v>425</v>
      </c>
      <c r="G561">
        <v>405</v>
      </c>
      <c r="H561">
        <v>15</v>
      </c>
      <c r="I561">
        <v>845</v>
      </c>
      <c r="J561" s="8">
        <f>Table1[[#This Row],[PartyAVotes]]/Table1[[#This Row],[RegisteredVoters]]</f>
        <v>0.4885057471264368</v>
      </c>
      <c r="K561" s="8">
        <f>Table1[[#This Row],[PartyBVotes]]/Table1[[#This Row],[RegisteredVoters]]</f>
        <v>0.46551724137931033</v>
      </c>
      <c r="L561" s="8">
        <f>Table1[[#This Row],[PartyCVotes]]/Table1[[#This Row],[RegisteredVoters]]</f>
        <v>1.7241379310344827E-2</v>
      </c>
      <c r="M561">
        <f>ABS(Table1[[#This Row],[PartyAVotes]]-Table1[[#This Row],[PartyBVotes]])</f>
        <v>20</v>
      </c>
      <c r="N561" s="11">
        <f>Table1[[#This Row],[TotalVotesCast]]/Table1[[#This Row],[RegisteredVoters]]</f>
        <v>0.97126436781609193</v>
      </c>
      <c r="O561" t="str">
        <f>IF(Table1[[#This Row],[RegisteredVoters]]=Table1[[#This Row],[TotalVotesCast]],"Match","")</f>
        <v/>
      </c>
    </row>
    <row r="562" spans="1:15" ht="13.2">
      <c r="A562" s="1" t="s">
        <v>660</v>
      </c>
      <c r="B562" t="s">
        <v>18</v>
      </c>
      <c r="C562" t="s">
        <v>20</v>
      </c>
      <c r="D562" t="s">
        <v>661</v>
      </c>
      <c r="E562">
        <v>960</v>
      </c>
      <c r="F562">
        <v>475</v>
      </c>
      <c r="G562">
        <v>455</v>
      </c>
      <c r="H562">
        <v>15</v>
      </c>
      <c r="I562">
        <v>945</v>
      </c>
      <c r="J562" s="8">
        <f>Table1[[#This Row],[PartyAVotes]]/Table1[[#This Row],[RegisteredVoters]]</f>
        <v>0.49479166666666669</v>
      </c>
      <c r="K562" s="8">
        <f>Table1[[#This Row],[PartyBVotes]]/Table1[[#This Row],[RegisteredVoters]]</f>
        <v>0.47395833333333331</v>
      </c>
      <c r="L562" s="8">
        <f>Table1[[#This Row],[PartyCVotes]]/Table1[[#This Row],[RegisteredVoters]]</f>
        <v>1.5625E-2</v>
      </c>
      <c r="M562">
        <f>ABS(Table1[[#This Row],[PartyAVotes]]-Table1[[#This Row],[PartyBVotes]])</f>
        <v>20</v>
      </c>
      <c r="N562" s="11">
        <f>Table1[[#This Row],[TotalVotesCast]]/Table1[[#This Row],[RegisteredVoters]]</f>
        <v>0.984375</v>
      </c>
      <c r="O562" t="str">
        <f>IF(Table1[[#This Row],[RegisteredVoters]]=Table1[[#This Row],[TotalVotesCast]],"Match","")</f>
        <v/>
      </c>
    </row>
    <row r="563" spans="1:15" ht="13.2">
      <c r="A563" s="1" t="s">
        <v>662</v>
      </c>
      <c r="B563" t="s">
        <v>21</v>
      </c>
      <c r="C563" t="s">
        <v>22</v>
      </c>
      <c r="D563" t="s">
        <v>616</v>
      </c>
      <c r="E563">
        <v>1220</v>
      </c>
      <c r="F563">
        <v>595</v>
      </c>
      <c r="G563">
        <v>565</v>
      </c>
      <c r="H563">
        <v>25</v>
      </c>
      <c r="I563">
        <v>1185</v>
      </c>
      <c r="J563" s="8">
        <f>Table1[[#This Row],[PartyAVotes]]/Table1[[#This Row],[RegisteredVoters]]</f>
        <v>0.48770491803278687</v>
      </c>
      <c r="K563" s="8">
        <f>Table1[[#This Row],[PartyBVotes]]/Table1[[#This Row],[RegisteredVoters]]</f>
        <v>0.46311475409836067</v>
      </c>
      <c r="L563" s="8">
        <f>Table1[[#This Row],[PartyCVotes]]/Table1[[#This Row],[RegisteredVoters]]</f>
        <v>2.0491803278688523E-2</v>
      </c>
      <c r="M563">
        <f>ABS(Table1[[#This Row],[PartyAVotes]]-Table1[[#This Row],[PartyBVotes]])</f>
        <v>30</v>
      </c>
      <c r="N563" s="11">
        <f>Table1[[#This Row],[TotalVotesCast]]/Table1[[#This Row],[RegisteredVoters]]</f>
        <v>0.97131147540983609</v>
      </c>
      <c r="O563" t="str">
        <f>IF(Table1[[#This Row],[RegisteredVoters]]=Table1[[#This Row],[TotalVotesCast]],"Match","")</f>
        <v/>
      </c>
    </row>
    <row r="564" spans="1:15" ht="13.2">
      <c r="A564" s="1" t="s">
        <v>663</v>
      </c>
      <c r="B564" t="s">
        <v>10</v>
      </c>
      <c r="C564" t="s">
        <v>14</v>
      </c>
      <c r="D564" t="s">
        <v>584</v>
      </c>
      <c r="E564">
        <v>670</v>
      </c>
      <c r="F564">
        <v>325</v>
      </c>
      <c r="G564">
        <v>305</v>
      </c>
      <c r="H564">
        <v>15</v>
      </c>
      <c r="I564">
        <v>645</v>
      </c>
      <c r="J564" s="8">
        <f>Table1[[#This Row],[PartyAVotes]]/Table1[[#This Row],[RegisteredVoters]]</f>
        <v>0.48507462686567165</v>
      </c>
      <c r="K564" s="8">
        <f>Table1[[#This Row],[PartyBVotes]]/Table1[[#This Row],[RegisteredVoters]]</f>
        <v>0.45522388059701491</v>
      </c>
      <c r="L564" s="8">
        <f>Table1[[#This Row],[PartyCVotes]]/Table1[[#This Row],[RegisteredVoters]]</f>
        <v>2.2388059701492536E-2</v>
      </c>
      <c r="M564">
        <f>ABS(Table1[[#This Row],[PartyAVotes]]-Table1[[#This Row],[PartyBVotes]])</f>
        <v>20</v>
      </c>
      <c r="N564" s="11">
        <f>Table1[[#This Row],[TotalVotesCast]]/Table1[[#This Row],[RegisteredVoters]]</f>
        <v>0.96268656716417911</v>
      </c>
      <c r="O564" t="str">
        <f>IF(Table1[[#This Row],[RegisteredVoters]]=Table1[[#This Row],[TotalVotesCast]],"Match","")</f>
        <v/>
      </c>
    </row>
    <row r="565" spans="1:15" ht="13.2">
      <c r="A565" s="1" t="s">
        <v>664</v>
      </c>
      <c r="B565" t="s">
        <v>15</v>
      </c>
      <c r="C565" t="s">
        <v>17</v>
      </c>
      <c r="D565" t="s">
        <v>566</v>
      </c>
      <c r="E565">
        <v>720</v>
      </c>
      <c r="F565">
        <v>355</v>
      </c>
      <c r="G565">
        <v>335</v>
      </c>
      <c r="H565">
        <v>15</v>
      </c>
      <c r="I565">
        <v>705</v>
      </c>
      <c r="J565" s="8">
        <f>Table1[[#This Row],[PartyAVotes]]/Table1[[#This Row],[RegisteredVoters]]</f>
        <v>0.49305555555555558</v>
      </c>
      <c r="K565" s="8">
        <f>Table1[[#This Row],[PartyBVotes]]/Table1[[#This Row],[RegisteredVoters]]</f>
        <v>0.46527777777777779</v>
      </c>
      <c r="L565" s="8">
        <f>Table1[[#This Row],[PartyCVotes]]/Table1[[#This Row],[RegisteredVoters]]</f>
        <v>2.0833333333333332E-2</v>
      </c>
      <c r="M565">
        <f>ABS(Table1[[#This Row],[PartyAVotes]]-Table1[[#This Row],[PartyBVotes]])</f>
        <v>20</v>
      </c>
      <c r="N565" s="11">
        <f>Table1[[#This Row],[TotalVotesCast]]/Table1[[#This Row],[RegisteredVoters]]</f>
        <v>0.97916666666666663</v>
      </c>
      <c r="O565" t="str">
        <f>IF(Table1[[#This Row],[RegisteredVoters]]=Table1[[#This Row],[TotalVotesCast]],"Match","")</f>
        <v/>
      </c>
    </row>
    <row r="566" spans="1:15" ht="13.2">
      <c r="A566" s="1" t="s">
        <v>665</v>
      </c>
      <c r="B566" t="s">
        <v>18</v>
      </c>
      <c r="C566" t="s">
        <v>19</v>
      </c>
      <c r="D566" t="s">
        <v>593</v>
      </c>
      <c r="E566">
        <v>990</v>
      </c>
      <c r="F566">
        <v>490</v>
      </c>
      <c r="G566">
        <v>465</v>
      </c>
      <c r="H566">
        <v>20</v>
      </c>
      <c r="I566">
        <v>975</v>
      </c>
      <c r="J566" s="8">
        <f>Table1[[#This Row],[PartyAVotes]]/Table1[[#This Row],[RegisteredVoters]]</f>
        <v>0.49494949494949497</v>
      </c>
      <c r="K566" s="8">
        <f>Table1[[#This Row],[PartyBVotes]]/Table1[[#This Row],[RegisteredVoters]]</f>
        <v>0.46969696969696972</v>
      </c>
      <c r="L566" s="8">
        <f>Table1[[#This Row],[PartyCVotes]]/Table1[[#This Row],[RegisteredVoters]]</f>
        <v>2.0202020202020204E-2</v>
      </c>
      <c r="M566">
        <f>ABS(Table1[[#This Row],[PartyAVotes]]-Table1[[#This Row],[PartyBVotes]])</f>
        <v>25</v>
      </c>
      <c r="N566" s="11">
        <f>Table1[[#This Row],[TotalVotesCast]]/Table1[[#This Row],[RegisteredVoters]]</f>
        <v>0.98484848484848486</v>
      </c>
      <c r="O566" t="str">
        <f>IF(Table1[[#This Row],[RegisteredVoters]]=Table1[[#This Row],[TotalVotesCast]],"Match","")</f>
        <v/>
      </c>
    </row>
    <row r="567" spans="1:15" ht="13.2">
      <c r="A567" s="1" t="s">
        <v>666</v>
      </c>
      <c r="B567" t="s">
        <v>21</v>
      </c>
      <c r="C567" t="s">
        <v>23</v>
      </c>
      <c r="D567" t="s">
        <v>575</v>
      </c>
      <c r="E567">
        <v>1050</v>
      </c>
      <c r="F567">
        <v>520</v>
      </c>
      <c r="G567">
        <v>495</v>
      </c>
      <c r="H567">
        <v>20</v>
      </c>
      <c r="I567">
        <v>1035</v>
      </c>
      <c r="J567" s="8">
        <f>Table1[[#This Row],[PartyAVotes]]/Table1[[#This Row],[RegisteredVoters]]</f>
        <v>0.49523809523809526</v>
      </c>
      <c r="K567" s="8">
        <f>Table1[[#This Row],[PartyBVotes]]/Table1[[#This Row],[RegisteredVoters]]</f>
        <v>0.47142857142857142</v>
      </c>
      <c r="L567" s="8">
        <f>Table1[[#This Row],[PartyCVotes]]/Table1[[#This Row],[RegisteredVoters]]</f>
        <v>1.9047619047619049E-2</v>
      </c>
      <c r="M567">
        <f>ABS(Table1[[#This Row],[PartyAVotes]]-Table1[[#This Row],[PartyBVotes]])</f>
        <v>25</v>
      </c>
      <c r="N567" s="11">
        <f>Table1[[#This Row],[TotalVotesCast]]/Table1[[#This Row],[RegisteredVoters]]</f>
        <v>0.98571428571428577</v>
      </c>
      <c r="O567" t="str">
        <f>IF(Table1[[#This Row],[RegisteredVoters]]=Table1[[#This Row],[TotalVotesCast]],"Match","")</f>
        <v/>
      </c>
    </row>
    <row r="568" spans="1:15" ht="13.2">
      <c r="A568" s="1" t="s">
        <v>667</v>
      </c>
      <c r="B568" t="s">
        <v>10</v>
      </c>
      <c r="C568" t="s">
        <v>11</v>
      </c>
      <c r="D568" t="s">
        <v>634</v>
      </c>
      <c r="E568">
        <v>580</v>
      </c>
      <c r="F568">
        <v>280</v>
      </c>
      <c r="G568">
        <v>260</v>
      </c>
      <c r="H568">
        <v>10</v>
      </c>
      <c r="I568">
        <v>550</v>
      </c>
      <c r="J568" s="8">
        <f>Table1[[#This Row],[PartyAVotes]]/Table1[[#This Row],[RegisteredVoters]]</f>
        <v>0.48275862068965519</v>
      </c>
      <c r="K568" s="8">
        <f>Table1[[#This Row],[PartyBVotes]]/Table1[[#This Row],[RegisteredVoters]]</f>
        <v>0.44827586206896552</v>
      </c>
      <c r="L568" s="8">
        <f>Table1[[#This Row],[PartyCVotes]]/Table1[[#This Row],[RegisteredVoters]]</f>
        <v>1.7241379310344827E-2</v>
      </c>
      <c r="M568">
        <f>ABS(Table1[[#This Row],[PartyAVotes]]-Table1[[#This Row],[PartyBVotes]])</f>
        <v>20</v>
      </c>
      <c r="N568" s="11">
        <f>Table1[[#This Row],[TotalVotesCast]]/Table1[[#This Row],[RegisteredVoters]]</f>
        <v>0.94827586206896552</v>
      </c>
      <c r="O568" t="str">
        <f>IF(Table1[[#This Row],[RegisteredVoters]]=Table1[[#This Row],[TotalVotesCast]],"Match","")</f>
        <v/>
      </c>
    </row>
    <row r="569" spans="1:15" ht="13.2">
      <c r="A569" s="1" t="s">
        <v>668</v>
      </c>
      <c r="B569" t="s">
        <v>15</v>
      </c>
      <c r="C569" t="s">
        <v>16</v>
      </c>
      <c r="D569" t="s">
        <v>634</v>
      </c>
      <c r="E569">
        <v>880</v>
      </c>
      <c r="F569">
        <v>430</v>
      </c>
      <c r="G569">
        <v>410</v>
      </c>
      <c r="H569">
        <v>15</v>
      </c>
      <c r="I569">
        <v>855</v>
      </c>
      <c r="J569" s="8">
        <f>Table1[[#This Row],[PartyAVotes]]/Table1[[#This Row],[RegisteredVoters]]</f>
        <v>0.48863636363636365</v>
      </c>
      <c r="K569" s="8">
        <f>Table1[[#This Row],[PartyBVotes]]/Table1[[#This Row],[RegisteredVoters]]</f>
        <v>0.46590909090909088</v>
      </c>
      <c r="L569" s="8">
        <f>Table1[[#This Row],[PartyCVotes]]/Table1[[#This Row],[RegisteredVoters]]</f>
        <v>1.7045454545454544E-2</v>
      </c>
      <c r="M569">
        <f>ABS(Table1[[#This Row],[PartyAVotes]]-Table1[[#This Row],[PartyBVotes]])</f>
        <v>20</v>
      </c>
      <c r="N569" s="11">
        <f>Table1[[#This Row],[TotalVotesCast]]/Table1[[#This Row],[RegisteredVoters]]</f>
        <v>0.97159090909090906</v>
      </c>
      <c r="O569" t="str">
        <f>IF(Table1[[#This Row],[RegisteredVoters]]=Table1[[#This Row],[TotalVotesCast]],"Match","")</f>
        <v/>
      </c>
    </row>
    <row r="570" spans="1:15" ht="13.2">
      <c r="A570" s="1" t="s">
        <v>669</v>
      </c>
      <c r="B570" t="s">
        <v>18</v>
      </c>
      <c r="C570" t="s">
        <v>20</v>
      </c>
      <c r="D570" t="s">
        <v>670</v>
      </c>
      <c r="E570">
        <v>970</v>
      </c>
      <c r="F570">
        <v>480</v>
      </c>
      <c r="G570">
        <v>460</v>
      </c>
      <c r="H570">
        <v>15</v>
      </c>
      <c r="I570">
        <v>955</v>
      </c>
      <c r="J570" s="8">
        <f>Table1[[#This Row],[PartyAVotes]]/Table1[[#This Row],[RegisteredVoters]]</f>
        <v>0.49484536082474229</v>
      </c>
      <c r="K570" s="8">
        <f>Table1[[#This Row],[PartyBVotes]]/Table1[[#This Row],[RegisteredVoters]]</f>
        <v>0.47422680412371132</v>
      </c>
      <c r="L570" s="8">
        <f>Table1[[#This Row],[PartyCVotes]]/Table1[[#This Row],[RegisteredVoters]]</f>
        <v>1.5463917525773196E-2</v>
      </c>
      <c r="M570">
        <f>ABS(Table1[[#This Row],[PartyAVotes]]-Table1[[#This Row],[PartyBVotes]])</f>
        <v>20</v>
      </c>
      <c r="N570" s="11">
        <f>Table1[[#This Row],[TotalVotesCast]]/Table1[[#This Row],[RegisteredVoters]]</f>
        <v>0.98453608247422686</v>
      </c>
      <c r="O570" t="str">
        <f>IF(Table1[[#This Row],[RegisteredVoters]]=Table1[[#This Row],[TotalVotesCast]],"Match","")</f>
        <v/>
      </c>
    </row>
    <row r="571" spans="1:15" ht="13.2">
      <c r="A571" s="1" t="s">
        <v>671</v>
      </c>
      <c r="B571" t="s">
        <v>21</v>
      </c>
      <c r="C571" t="s">
        <v>22</v>
      </c>
      <c r="D571" t="s">
        <v>625</v>
      </c>
      <c r="E571">
        <v>1230</v>
      </c>
      <c r="F571">
        <v>600</v>
      </c>
      <c r="G571">
        <v>570</v>
      </c>
      <c r="H571">
        <v>25</v>
      </c>
      <c r="I571">
        <v>1195</v>
      </c>
      <c r="J571" s="8">
        <f>Table1[[#This Row],[PartyAVotes]]/Table1[[#This Row],[RegisteredVoters]]</f>
        <v>0.48780487804878048</v>
      </c>
      <c r="K571" s="8">
        <f>Table1[[#This Row],[PartyBVotes]]/Table1[[#This Row],[RegisteredVoters]]</f>
        <v>0.46341463414634149</v>
      </c>
      <c r="L571" s="8">
        <f>Table1[[#This Row],[PartyCVotes]]/Table1[[#This Row],[RegisteredVoters]]</f>
        <v>2.032520325203252E-2</v>
      </c>
      <c r="M571">
        <f>ABS(Table1[[#This Row],[PartyAVotes]]-Table1[[#This Row],[PartyBVotes]])</f>
        <v>30</v>
      </c>
      <c r="N571" s="11">
        <f>Table1[[#This Row],[TotalVotesCast]]/Table1[[#This Row],[RegisteredVoters]]</f>
        <v>0.97154471544715448</v>
      </c>
      <c r="O571" t="str">
        <f>IF(Table1[[#This Row],[RegisteredVoters]]=Table1[[#This Row],[TotalVotesCast]],"Match","")</f>
        <v/>
      </c>
    </row>
    <row r="572" spans="1:15" ht="13.2">
      <c r="A572" s="1" t="s">
        <v>672</v>
      </c>
      <c r="B572" t="s">
        <v>10</v>
      </c>
      <c r="C572" t="s">
        <v>14</v>
      </c>
      <c r="D572" t="s">
        <v>593</v>
      </c>
      <c r="E572">
        <v>680</v>
      </c>
      <c r="F572">
        <v>330</v>
      </c>
      <c r="G572">
        <v>310</v>
      </c>
      <c r="H572">
        <v>15</v>
      </c>
      <c r="I572">
        <v>655</v>
      </c>
      <c r="J572" s="8">
        <f>Table1[[#This Row],[PartyAVotes]]/Table1[[#This Row],[RegisteredVoters]]</f>
        <v>0.48529411764705882</v>
      </c>
      <c r="K572" s="8">
        <f>Table1[[#This Row],[PartyBVotes]]/Table1[[#This Row],[RegisteredVoters]]</f>
        <v>0.45588235294117646</v>
      </c>
      <c r="L572" s="8">
        <f>Table1[[#This Row],[PartyCVotes]]/Table1[[#This Row],[RegisteredVoters]]</f>
        <v>2.2058823529411766E-2</v>
      </c>
      <c r="M572">
        <f>ABS(Table1[[#This Row],[PartyAVotes]]-Table1[[#This Row],[PartyBVotes]])</f>
        <v>20</v>
      </c>
      <c r="N572" s="11">
        <f>Table1[[#This Row],[TotalVotesCast]]/Table1[[#This Row],[RegisteredVoters]]</f>
        <v>0.96323529411764708</v>
      </c>
      <c r="O572" t="str">
        <f>IF(Table1[[#This Row],[RegisteredVoters]]=Table1[[#This Row],[TotalVotesCast]],"Match","")</f>
        <v/>
      </c>
    </row>
    <row r="573" spans="1:15" ht="13.2">
      <c r="A573" s="1" t="s">
        <v>673</v>
      </c>
      <c r="B573" t="s">
        <v>15</v>
      </c>
      <c r="C573" t="s">
        <v>17</v>
      </c>
      <c r="D573" t="s">
        <v>575</v>
      </c>
      <c r="E573">
        <v>730</v>
      </c>
      <c r="F573">
        <v>360</v>
      </c>
      <c r="G573">
        <v>340</v>
      </c>
      <c r="H573">
        <v>15</v>
      </c>
      <c r="I573">
        <v>715</v>
      </c>
      <c r="J573" s="8">
        <f>Table1[[#This Row],[PartyAVotes]]/Table1[[#This Row],[RegisteredVoters]]</f>
        <v>0.49315068493150682</v>
      </c>
      <c r="K573" s="8">
        <f>Table1[[#This Row],[PartyBVotes]]/Table1[[#This Row],[RegisteredVoters]]</f>
        <v>0.46575342465753422</v>
      </c>
      <c r="L573" s="8">
        <f>Table1[[#This Row],[PartyCVotes]]/Table1[[#This Row],[RegisteredVoters]]</f>
        <v>2.0547945205479451E-2</v>
      </c>
      <c r="M573">
        <f>ABS(Table1[[#This Row],[PartyAVotes]]-Table1[[#This Row],[PartyBVotes]])</f>
        <v>20</v>
      </c>
      <c r="N573" s="11">
        <f>Table1[[#This Row],[TotalVotesCast]]/Table1[[#This Row],[RegisteredVoters]]</f>
        <v>0.97945205479452058</v>
      </c>
      <c r="O573" t="str">
        <f>IF(Table1[[#This Row],[RegisteredVoters]]=Table1[[#This Row],[TotalVotesCast]],"Match","")</f>
        <v/>
      </c>
    </row>
    <row r="574" spans="1:15" ht="13.2">
      <c r="A574" s="1" t="s">
        <v>674</v>
      </c>
      <c r="B574" t="s">
        <v>18</v>
      </c>
      <c r="C574" t="s">
        <v>19</v>
      </c>
      <c r="D574" t="s">
        <v>598</v>
      </c>
      <c r="E574">
        <v>1000</v>
      </c>
      <c r="F574">
        <v>495</v>
      </c>
      <c r="G574">
        <v>470</v>
      </c>
      <c r="H574">
        <v>20</v>
      </c>
      <c r="I574">
        <v>985</v>
      </c>
      <c r="J574" s="8">
        <f>Table1[[#This Row],[PartyAVotes]]/Table1[[#This Row],[RegisteredVoters]]</f>
        <v>0.495</v>
      </c>
      <c r="K574" s="8">
        <f>Table1[[#This Row],[PartyBVotes]]/Table1[[#This Row],[RegisteredVoters]]</f>
        <v>0.47</v>
      </c>
      <c r="L574" s="8">
        <f>Table1[[#This Row],[PartyCVotes]]/Table1[[#This Row],[RegisteredVoters]]</f>
        <v>0.02</v>
      </c>
      <c r="M574">
        <f>ABS(Table1[[#This Row],[PartyAVotes]]-Table1[[#This Row],[PartyBVotes]])</f>
        <v>25</v>
      </c>
      <c r="N574" s="11">
        <f>Table1[[#This Row],[TotalVotesCast]]/Table1[[#This Row],[RegisteredVoters]]</f>
        <v>0.98499999999999999</v>
      </c>
      <c r="O574" t="str">
        <f>IF(Table1[[#This Row],[RegisteredVoters]]=Table1[[#This Row],[TotalVotesCast]],"Match","")</f>
        <v/>
      </c>
    </row>
    <row r="575" spans="1:15" ht="13.2">
      <c r="A575" s="1" t="s">
        <v>675</v>
      </c>
      <c r="B575" t="s">
        <v>21</v>
      </c>
      <c r="C575" t="s">
        <v>23</v>
      </c>
      <c r="D575" t="s">
        <v>584</v>
      </c>
      <c r="E575">
        <v>1060</v>
      </c>
      <c r="F575">
        <v>525</v>
      </c>
      <c r="G575">
        <v>500</v>
      </c>
      <c r="H575">
        <v>20</v>
      </c>
      <c r="I575">
        <v>1045</v>
      </c>
      <c r="J575" s="8">
        <f>Table1[[#This Row],[PartyAVotes]]/Table1[[#This Row],[RegisteredVoters]]</f>
        <v>0.49528301886792453</v>
      </c>
      <c r="K575" s="8">
        <f>Table1[[#This Row],[PartyBVotes]]/Table1[[#This Row],[RegisteredVoters]]</f>
        <v>0.47169811320754718</v>
      </c>
      <c r="L575" s="8">
        <f>Table1[[#This Row],[PartyCVotes]]/Table1[[#This Row],[RegisteredVoters]]</f>
        <v>1.8867924528301886E-2</v>
      </c>
      <c r="M575">
        <f>ABS(Table1[[#This Row],[PartyAVotes]]-Table1[[#This Row],[PartyBVotes]])</f>
        <v>25</v>
      </c>
      <c r="N575" s="11">
        <f>Table1[[#This Row],[TotalVotesCast]]/Table1[[#This Row],[RegisteredVoters]]</f>
        <v>0.98584905660377353</v>
      </c>
      <c r="O575" t="str">
        <f>IF(Table1[[#This Row],[RegisteredVoters]]=Table1[[#This Row],[TotalVotesCast]],"Match","")</f>
        <v/>
      </c>
    </row>
    <row r="576" spans="1:15" ht="13.2">
      <c r="A576" s="1" t="s">
        <v>676</v>
      </c>
      <c r="B576" t="s">
        <v>10</v>
      </c>
      <c r="C576" t="s">
        <v>11</v>
      </c>
      <c r="D576" t="s">
        <v>643</v>
      </c>
      <c r="E576">
        <v>590</v>
      </c>
      <c r="F576">
        <v>285</v>
      </c>
      <c r="G576">
        <v>265</v>
      </c>
      <c r="H576">
        <v>10</v>
      </c>
      <c r="I576">
        <v>560</v>
      </c>
      <c r="J576" s="8">
        <f>Table1[[#This Row],[PartyAVotes]]/Table1[[#This Row],[RegisteredVoters]]</f>
        <v>0.48305084745762711</v>
      </c>
      <c r="K576" s="8">
        <f>Table1[[#This Row],[PartyBVotes]]/Table1[[#This Row],[RegisteredVoters]]</f>
        <v>0.44915254237288138</v>
      </c>
      <c r="L576" s="8">
        <f>Table1[[#This Row],[PartyCVotes]]/Table1[[#This Row],[RegisteredVoters]]</f>
        <v>1.6949152542372881E-2</v>
      </c>
      <c r="M576">
        <f>ABS(Table1[[#This Row],[PartyAVotes]]-Table1[[#This Row],[PartyBVotes]])</f>
        <v>20</v>
      </c>
      <c r="N576" s="11">
        <f>Table1[[#This Row],[TotalVotesCast]]/Table1[[#This Row],[RegisteredVoters]]</f>
        <v>0.94915254237288138</v>
      </c>
      <c r="O576" t="str">
        <f>IF(Table1[[#This Row],[RegisteredVoters]]=Table1[[#This Row],[TotalVotesCast]],"Match","")</f>
        <v/>
      </c>
    </row>
    <row r="577" spans="1:15" ht="13.2">
      <c r="A577" s="1" t="s">
        <v>677</v>
      </c>
      <c r="B577" t="s">
        <v>15</v>
      </c>
      <c r="C577" t="s">
        <v>16</v>
      </c>
      <c r="D577" t="s">
        <v>643</v>
      </c>
      <c r="E577">
        <v>890</v>
      </c>
      <c r="F577">
        <v>435</v>
      </c>
      <c r="G577">
        <v>415</v>
      </c>
      <c r="H577">
        <v>15</v>
      </c>
      <c r="I577">
        <v>865</v>
      </c>
      <c r="J577" s="8">
        <f>Table1[[#This Row],[PartyAVotes]]/Table1[[#This Row],[RegisteredVoters]]</f>
        <v>0.4887640449438202</v>
      </c>
      <c r="K577" s="8">
        <f>Table1[[#This Row],[PartyBVotes]]/Table1[[#This Row],[RegisteredVoters]]</f>
        <v>0.46629213483146065</v>
      </c>
      <c r="L577" s="8">
        <f>Table1[[#This Row],[PartyCVotes]]/Table1[[#This Row],[RegisteredVoters]]</f>
        <v>1.6853932584269662E-2</v>
      </c>
      <c r="M577">
        <f>ABS(Table1[[#This Row],[PartyAVotes]]-Table1[[#This Row],[PartyBVotes]])</f>
        <v>20</v>
      </c>
      <c r="N577" s="11">
        <f>Table1[[#This Row],[TotalVotesCast]]/Table1[[#This Row],[RegisteredVoters]]</f>
        <v>0.9719101123595506</v>
      </c>
      <c r="O577" t="str">
        <f>IF(Table1[[#This Row],[RegisteredVoters]]=Table1[[#This Row],[TotalVotesCast]],"Match","")</f>
        <v/>
      </c>
    </row>
    <row r="578" spans="1:15" ht="13.2">
      <c r="A578" s="1" t="s">
        <v>678</v>
      </c>
      <c r="B578" t="s">
        <v>18</v>
      </c>
      <c r="C578" t="s">
        <v>20</v>
      </c>
      <c r="D578" t="s">
        <v>679</v>
      </c>
      <c r="E578">
        <v>980</v>
      </c>
      <c r="F578">
        <v>485</v>
      </c>
      <c r="G578">
        <v>465</v>
      </c>
      <c r="H578">
        <v>15</v>
      </c>
      <c r="I578">
        <v>965</v>
      </c>
      <c r="J578" s="8">
        <f>Table1[[#This Row],[PartyAVotes]]/Table1[[#This Row],[RegisteredVoters]]</f>
        <v>0.49489795918367346</v>
      </c>
      <c r="K578" s="8">
        <f>Table1[[#This Row],[PartyBVotes]]/Table1[[#This Row],[RegisteredVoters]]</f>
        <v>0.47448979591836737</v>
      </c>
      <c r="L578" s="8">
        <f>Table1[[#This Row],[PartyCVotes]]/Table1[[#This Row],[RegisteredVoters]]</f>
        <v>1.5306122448979591E-2</v>
      </c>
      <c r="M578">
        <f>ABS(Table1[[#This Row],[PartyAVotes]]-Table1[[#This Row],[PartyBVotes]])</f>
        <v>20</v>
      </c>
      <c r="N578" s="11">
        <f>Table1[[#This Row],[TotalVotesCast]]/Table1[[#This Row],[RegisteredVoters]]</f>
        <v>0.98469387755102045</v>
      </c>
      <c r="O578" t="str">
        <f>IF(Table1[[#This Row],[RegisteredVoters]]=Table1[[#This Row],[TotalVotesCast]],"Match","")</f>
        <v/>
      </c>
    </row>
    <row r="579" spans="1:15" ht="13.2">
      <c r="A579" s="1" t="s">
        <v>680</v>
      </c>
      <c r="B579" t="s">
        <v>21</v>
      </c>
      <c r="C579" t="s">
        <v>22</v>
      </c>
      <c r="D579" t="s">
        <v>634</v>
      </c>
      <c r="E579">
        <v>1240</v>
      </c>
      <c r="F579">
        <v>605</v>
      </c>
      <c r="G579">
        <v>575</v>
      </c>
      <c r="H579">
        <v>25</v>
      </c>
      <c r="I579">
        <v>1205</v>
      </c>
      <c r="J579" s="8">
        <f>Table1[[#This Row],[PartyAVotes]]/Table1[[#This Row],[RegisteredVoters]]</f>
        <v>0.48790322580645162</v>
      </c>
      <c r="K579" s="8">
        <f>Table1[[#This Row],[PartyBVotes]]/Table1[[#This Row],[RegisteredVoters]]</f>
        <v>0.46370967741935482</v>
      </c>
      <c r="L579" s="8">
        <f>Table1[[#This Row],[PartyCVotes]]/Table1[[#This Row],[RegisteredVoters]]</f>
        <v>2.0161290322580645E-2</v>
      </c>
      <c r="M579">
        <f>ABS(Table1[[#This Row],[PartyAVotes]]-Table1[[#This Row],[PartyBVotes]])</f>
        <v>30</v>
      </c>
      <c r="N579" s="11">
        <f>Table1[[#This Row],[TotalVotesCast]]/Table1[[#This Row],[RegisteredVoters]]</f>
        <v>0.97177419354838712</v>
      </c>
      <c r="O579" t="str">
        <f>IF(Table1[[#This Row],[RegisteredVoters]]=Table1[[#This Row],[TotalVotesCast]],"Match","")</f>
        <v/>
      </c>
    </row>
    <row r="580" spans="1:15" ht="13.2">
      <c r="A580" s="1" t="s">
        <v>681</v>
      </c>
      <c r="B580" t="s">
        <v>10</v>
      </c>
      <c r="C580" t="s">
        <v>14</v>
      </c>
      <c r="D580" t="s">
        <v>598</v>
      </c>
      <c r="E580">
        <v>690</v>
      </c>
      <c r="F580">
        <v>335</v>
      </c>
      <c r="G580">
        <v>315</v>
      </c>
      <c r="H580">
        <v>15</v>
      </c>
      <c r="I580">
        <v>665</v>
      </c>
      <c r="J580" s="8">
        <f>Table1[[#This Row],[PartyAVotes]]/Table1[[#This Row],[RegisteredVoters]]</f>
        <v>0.48550724637681159</v>
      </c>
      <c r="K580" s="8">
        <f>Table1[[#This Row],[PartyBVotes]]/Table1[[#This Row],[RegisteredVoters]]</f>
        <v>0.45652173913043476</v>
      </c>
      <c r="L580" s="8">
        <f>Table1[[#This Row],[PartyCVotes]]/Table1[[#This Row],[RegisteredVoters]]</f>
        <v>2.1739130434782608E-2</v>
      </c>
      <c r="M580">
        <f>ABS(Table1[[#This Row],[PartyAVotes]]-Table1[[#This Row],[PartyBVotes]])</f>
        <v>20</v>
      </c>
      <c r="N580" s="11">
        <f>Table1[[#This Row],[TotalVotesCast]]/Table1[[#This Row],[RegisteredVoters]]</f>
        <v>0.96376811594202894</v>
      </c>
      <c r="O580" t="str">
        <f>IF(Table1[[#This Row],[RegisteredVoters]]=Table1[[#This Row],[TotalVotesCast]],"Match","")</f>
        <v/>
      </c>
    </row>
    <row r="581" spans="1:15" ht="13.2">
      <c r="A581" s="1" t="s">
        <v>682</v>
      </c>
      <c r="B581" t="s">
        <v>15</v>
      </c>
      <c r="C581" t="s">
        <v>17</v>
      </c>
      <c r="D581" t="s">
        <v>584</v>
      </c>
      <c r="E581">
        <v>740</v>
      </c>
      <c r="F581">
        <v>365</v>
      </c>
      <c r="G581">
        <v>345</v>
      </c>
      <c r="H581">
        <v>15</v>
      </c>
      <c r="I581">
        <v>725</v>
      </c>
      <c r="J581" s="8">
        <f>Table1[[#This Row],[PartyAVotes]]/Table1[[#This Row],[RegisteredVoters]]</f>
        <v>0.49324324324324326</v>
      </c>
      <c r="K581" s="8">
        <f>Table1[[#This Row],[PartyBVotes]]/Table1[[#This Row],[RegisteredVoters]]</f>
        <v>0.46621621621621623</v>
      </c>
      <c r="L581" s="8">
        <f>Table1[[#This Row],[PartyCVotes]]/Table1[[#This Row],[RegisteredVoters]]</f>
        <v>2.0270270270270271E-2</v>
      </c>
      <c r="M581">
        <f>ABS(Table1[[#This Row],[PartyAVotes]]-Table1[[#This Row],[PartyBVotes]])</f>
        <v>20</v>
      </c>
      <c r="N581" s="11">
        <f>Table1[[#This Row],[TotalVotesCast]]/Table1[[#This Row],[RegisteredVoters]]</f>
        <v>0.97972972972972971</v>
      </c>
      <c r="O581" t="str">
        <f>IF(Table1[[#This Row],[RegisteredVoters]]=Table1[[#This Row],[TotalVotesCast]],"Match","")</f>
        <v/>
      </c>
    </row>
    <row r="582" spans="1:15" ht="13.2">
      <c r="A582" s="1" t="s">
        <v>683</v>
      </c>
      <c r="B582" t="s">
        <v>18</v>
      </c>
      <c r="C582" t="s">
        <v>19</v>
      </c>
      <c r="D582" t="s">
        <v>607</v>
      </c>
      <c r="E582">
        <v>1010</v>
      </c>
      <c r="F582">
        <v>500</v>
      </c>
      <c r="G582">
        <v>475</v>
      </c>
      <c r="H582">
        <v>20</v>
      </c>
      <c r="I582">
        <v>995</v>
      </c>
      <c r="J582" s="8">
        <f>Table1[[#This Row],[PartyAVotes]]/Table1[[#This Row],[RegisteredVoters]]</f>
        <v>0.49504950495049505</v>
      </c>
      <c r="K582" s="8">
        <f>Table1[[#This Row],[PartyBVotes]]/Table1[[#This Row],[RegisteredVoters]]</f>
        <v>0.47029702970297027</v>
      </c>
      <c r="L582" s="8">
        <f>Table1[[#This Row],[PartyCVotes]]/Table1[[#This Row],[RegisteredVoters]]</f>
        <v>1.9801980198019802E-2</v>
      </c>
      <c r="M582">
        <f>ABS(Table1[[#This Row],[PartyAVotes]]-Table1[[#This Row],[PartyBVotes]])</f>
        <v>25</v>
      </c>
      <c r="N582" s="11">
        <f>Table1[[#This Row],[TotalVotesCast]]/Table1[[#This Row],[RegisteredVoters]]</f>
        <v>0.98514851485148514</v>
      </c>
      <c r="O582" t="str">
        <f>IF(Table1[[#This Row],[RegisteredVoters]]=Table1[[#This Row],[TotalVotesCast]],"Match","")</f>
        <v/>
      </c>
    </row>
    <row r="583" spans="1:15" ht="13.2">
      <c r="A583" s="1" t="s">
        <v>684</v>
      </c>
      <c r="B583" t="s">
        <v>21</v>
      </c>
      <c r="C583" t="s">
        <v>23</v>
      </c>
      <c r="D583" t="s">
        <v>593</v>
      </c>
      <c r="E583">
        <v>1070</v>
      </c>
      <c r="F583">
        <v>530</v>
      </c>
      <c r="G583">
        <v>505</v>
      </c>
      <c r="H583">
        <v>20</v>
      </c>
      <c r="I583">
        <v>1055</v>
      </c>
      <c r="J583" s="8">
        <f>Table1[[#This Row],[PartyAVotes]]/Table1[[#This Row],[RegisteredVoters]]</f>
        <v>0.49532710280373832</v>
      </c>
      <c r="K583" s="8">
        <f>Table1[[#This Row],[PartyBVotes]]/Table1[[#This Row],[RegisteredVoters]]</f>
        <v>0.4719626168224299</v>
      </c>
      <c r="L583" s="8">
        <f>Table1[[#This Row],[PartyCVotes]]/Table1[[#This Row],[RegisteredVoters]]</f>
        <v>1.8691588785046728E-2</v>
      </c>
      <c r="M583">
        <f>ABS(Table1[[#This Row],[PartyAVotes]]-Table1[[#This Row],[PartyBVotes]])</f>
        <v>25</v>
      </c>
      <c r="N583" s="11">
        <f>Table1[[#This Row],[TotalVotesCast]]/Table1[[#This Row],[RegisteredVoters]]</f>
        <v>0.98598130841121501</v>
      </c>
      <c r="O583" t="str">
        <f>IF(Table1[[#This Row],[RegisteredVoters]]=Table1[[#This Row],[TotalVotesCast]],"Match","")</f>
        <v/>
      </c>
    </row>
    <row r="584" spans="1:15" ht="13.2">
      <c r="A584" s="1" t="s">
        <v>685</v>
      </c>
      <c r="B584" t="s">
        <v>10</v>
      </c>
      <c r="C584" t="s">
        <v>11</v>
      </c>
      <c r="D584" t="s">
        <v>652</v>
      </c>
      <c r="E584">
        <v>600</v>
      </c>
      <c r="F584">
        <v>290</v>
      </c>
      <c r="G584">
        <v>270</v>
      </c>
      <c r="H584">
        <v>10</v>
      </c>
      <c r="I584">
        <v>570</v>
      </c>
      <c r="J584" s="8">
        <f>Table1[[#This Row],[PartyAVotes]]/Table1[[#This Row],[RegisteredVoters]]</f>
        <v>0.48333333333333334</v>
      </c>
      <c r="K584" s="8">
        <f>Table1[[#This Row],[PartyBVotes]]/Table1[[#This Row],[RegisteredVoters]]</f>
        <v>0.45</v>
      </c>
      <c r="L584" s="8">
        <f>Table1[[#This Row],[PartyCVotes]]/Table1[[#This Row],[RegisteredVoters]]</f>
        <v>1.6666666666666666E-2</v>
      </c>
      <c r="M584">
        <f>ABS(Table1[[#This Row],[PartyAVotes]]-Table1[[#This Row],[PartyBVotes]])</f>
        <v>20</v>
      </c>
      <c r="N584" s="11">
        <f>Table1[[#This Row],[TotalVotesCast]]/Table1[[#This Row],[RegisteredVoters]]</f>
        <v>0.95</v>
      </c>
      <c r="O584" t="str">
        <f>IF(Table1[[#This Row],[RegisteredVoters]]=Table1[[#This Row],[TotalVotesCast]],"Match","")</f>
        <v/>
      </c>
    </row>
    <row r="585" spans="1:15" ht="13.2">
      <c r="A585" s="1" t="s">
        <v>686</v>
      </c>
      <c r="B585" t="s">
        <v>15</v>
      </c>
      <c r="C585" t="s">
        <v>16</v>
      </c>
      <c r="D585" t="s">
        <v>652</v>
      </c>
      <c r="E585">
        <v>900</v>
      </c>
      <c r="F585">
        <v>440</v>
      </c>
      <c r="G585">
        <v>420</v>
      </c>
      <c r="H585">
        <v>15</v>
      </c>
      <c r="I585">
        <v>875</v>
      </c>
      <c r="J585" s="8">
        <f>Table1[[#This Row],[PartyAVotes]]/Table1[[#This Row],[RegisteredVoters]]</f>
        <v>0.48888888888888887</v>
      </c>
      <c r="K585" s="8">
        <f>Table1[[#This Row],[PartyBVotes]]/Table1[[#This Row],[RegisteredVoters]]</f>
        <v>0.46666666666666667</v>
      </c>
      <c r="L585" s="8">
        <f>Table1[[#This Row],[PartyCVotes]]/Table1[[#This Row],[RegisteredVoters]]</f>
        <v>1.6666666666666666E-2</v>
      </c>
      <c r="M585">
        <f>ABS(Table1[[#This Row],[PartyAVotes]]-Table1[[#This Row],[PartyBVotes]])</f>
        <v>20</v>
      </c>
      <c r="N585" s="11">
        <f>Table1[[#This Row],[TotalVotesCast]]/Table1[[#This Row],[RegisteredVoters]]</f>
        <v>0.97222222222222221</v>
      </c>
      <c r="O585" t="str">
        <f>IF(Table1[[#This Row],[RegisteredVoters]]=Table1[[#This Row],[TotalVotesCast]],"Match","")</f>
        <v/>
      </c>
    </row>
    <row r="586" spans="1:15" ht="13.2">
      <c r="A586" s="1" t="s">
        <v>687</v>
      </c>
      <c r="B586" t="s">
        <v>18</v>
      </c>
      <c r="C586" t="s">
        <v>20</v>
      </c>
      <c r="D586" t="s">
        <v>688</v>
      </c>
      <c r="E586">
        <v>990</v>
      </c>
      <c r="F586">
        <v>490</v>
      </c>
      <c r="G586">
        <v>470</v>
      </c>
      <c r="H586">
        <v>15</v>
      </c>
      <c r="I586">
        <v>975</v>
      </c>
      <c r="J586" s="8">
        <f>Table1[[#This Row],[PartyAVotes]]/Table1[[#This Row],[RegisteredVoters]]</f>
        <v>0.49494949494949497</v>
      </c>
      <c r="K586" s="8">
        <f>Table1[[#This Row],[PartyBVotes]]/Table1[[#This Row],[RegisteredVoters]]</f>
        <v>0.47474747474747475</v>
      </c>
      <c r="L586" s="8">
        <f>Table1[[#This Row],[PartyCVotes]]/Table1[[#This Row],[RegisteredVoters]]</f>
        <v>1.5151515151515152E-2</v>
      </c>
      <c r="M586">
        <f>ABS(Table1[[#This Row],[PartyAVotes]]-Table1[[#This Row],[PartyBVotes]])</f>
        <v>20</v>
      </c>
      <c r="N586" s="11">
        <f>Table1[[#This Row],[TotalVotesCast]]/Table1[[#This Row],[RegisteredVoters]]</f>
        <v>0.98484848484848486</v>
      </c>
      <c r="O586" t="str">
        <f>IF(Table1[[#This Row],[RegisteredVoters]]=Table1[[#This Row],[TotalVotesCast]],"Match","")</f>
        <v/>
      </c>
    </row>
    <row r="587" spans="1:15" ht="13.2">
      <c r="A587" s="1" t="s">
        <v>689</v>
      </c>
      <c r="B587" t="s">
        <v>21</v>
      </c>
      <c r="C587" t="s">
        <v>22</v>
      </c>
      <c r="D587" t="s">
        <v>643</v>
      </c>
      <c r="E587">
        <v>1250</v>
      </c>
      <c r="F587">
        <v>610</v>
      </c>
      <c r="G587">
        <v>580</v>
      </c>
      <c r="H587">
        <v>25</v>
      </c>
      <c r="I587">
        <v>1215</v>
      </c>
      <c r="J587" s="8">
        <f>Table1[[#This Row],[PartyAVotes]]/Table1[[#This Row],[RegisteredVoters]]</f>
        <v>0.48799999999999999</v>
      </c>
      <c r="K587" s="8">
        <f>Table1[[#This Row],[PartyBVotes]]/Table1[[#This Row],[RegisteredVoters]]</f>
        <v>0.46400000000000002</v>
      </c>
      <c r="L587" s="8">
        <f>Table1[[#This Row],[PartyCVotes]]/Table1[[#This Row],[RegisteredVoters]]</f>
        <v>0.02</v>
      </c>
      <c r="M587">
        <f>ABS(Table1[[#This Row],[PartyAVotes]]-Table1[[#This Row],[PartyBVotes]])</f>
        <v>30</v>
      </c>
      <c r="N587" s="11">
        <f>Table1[[#This Row],[TotalVotesCast]]/Table1[[#This Row],[RegisteredVoters]]</f>
        <v>0.97199999999999998</v>
      </c>
      <c r="O587" t="str">
        <f>IF(Table1[[#This Row],[RegisteredVoters]]=Table1[[#This Row],[TotalVotesCast]],"Match","")</f>
        <v/>
      </c>
    </row>
    <row r="588" spans="1:15" ht="13.2">
      <c r="A588" s="1" t="s">
        <v>690</v>
      </c>
      <c r="B588" t="s">
        <v>10</v>
      </c>
      <c r="C588" t="s">
        <v>14</v>
      </c>
      <c r="D588" t="s">
        <v>607</v>
      </c>
      <c r="E588">
        <v>700</v>
      </c>
      <c r="F588">
        <v>340</v>
      </c>
      <c r="G588">
        <v>320</v>
      </c>
      <c r="H588">
        <v>15</v>
      </c>
      <c r="I588">
        <v>675</v>
      </c>
      <c r="J588" s="8">
        <f>Table1[[#This Row],[PartyAVotes]]/Table1[[#This Row],[RegisteredVoters]]</f>
        <v>0.48571428571428571</v>
      </c>
      <c r="K588" s="8">
        <f>Table1[[#This Row],[PartyBVotes]]/Table1[[#This Row],[RegisteredVoters]]</f>
        <v>0.45714285714285713</v>
      </c>
      <c r="L588" s="8">
        <f>Table1[[#This Row],[PartyCVotes]]/Table1[[#This Row],[RegisteredVoters]]</f>
        <v>2.1428571428571429E-2</v>
      </c>
      <c r="M588">
        <f>ABS(Table1[[#This Row],[PartyAVotes]]-Table1[[#This Row],[PartyBVotes]])</f>
        <v>20</v>
      </c>
      <c r="N588" s="11">
        <f>Table1[[#This Row],[TotalVotesCast]]/Table1[[#This Row],[RegisteredVoters]]</f>
        <v>0.9642857142857143</v>
      </c>
      <c r="O588" t="str">
        <f>IF(Table1[[#This Row],[RegisteredVoters]]=Table1[[#This Row],[TotalVotesCast]],"Match","")</f>
        <v/>
      </c>
    </row>
    <row r="589" spans="1:15" ht="13.2">
      <c r="A589" s="1" t="s">
        <v>691</v>
      </c>
      <c r="B589" t="s">
        <v>15</v>
      </c>
      <c r="C589" t="s">
        <v>17</v>
      </c>
      <c r="D589" t="s">
        <v>593</v>
      </c>
      <c r="E589">
        <v>750</v>
      </c>
      <c r="F589">
        <v>370</v>
      </c>
      <c r="G589">
        <v>350</v>
      </c>
      <c r="H589">
        <v>15</v>
      </c>
      <c r="I589">
        <v>735</v>
      </c>
      <c r="J589" s="8">
        <f>Table1[[#This Row],[PartyAVotes]]/Table1[[#This Row],[RegisteredVoters]]</f>
        <v>0.49333333333333335</v>
      </c>
      <c r="K589" s="8">
        <f>Table1[[#This Row],[PartyBVotes]]/Table1[[#This Row],[RegisteredVoters]]</f>
        <v>0.46666666666666667</v>
      </c>
      <c r="L589" s="8">
        <f>Table1[[#This Row],[PartyCVotes]]/Table1[[#This Row],[RegisteredVoters]]</f>
        <v>0.02</v>
      </c>
      <c r="M589">
        <f>ABS(Table1[[#This Row],[PartyAVotes]]-Table1[[#This Row],[PartyBVotes]])</f>
        <v>20</v>
      </c>
      <c r="N589" s="11">
        <f>Table1[[#This Row],[TotalVotesCast]]/Table1[[#This Row],[RegisteredVoters]]</f>
        <v>0.98</v>
      </c>
      <c r="O589" t="str">
        <f>IF(Table1[[#This Row],[RegisteredVoters]]=Table1[[#This Row],[TotalVotesCast]],"Match","")</f>
        <v/>
      </c>
    </row>
    <row r="590" spans="1:15" ht="13.2">
      <c r="A590" s="1" t="s">
        <v>692</v>
      </c>
      <c r="B590" t="s">
        <v>18</v>
      </c>
      <c r="C590" t="s">
        <v>19</v>
      </c>
      <c r="D590" t="s">
        <v>616</v>
      </c>
      <c r="E590">
        <v>1020</v>
      </c>
      <c r="F590">
        <v>505</v>
      </c>
      <c r="G590">
        <v>480</v>
      </c>
      <c r="H590">
        <v>20</v>
      </c>
      <c r="I590">
        <v>1005</v>
      </c>
      <c r="J590" s="8">
        <f>Table1[[#This Row],[PartyAVotes]]/Table1[[#This Row],[RegisteredVoters]]</f>
        <v>0.49509803921568629</v>
      </c>
      <c r="K590" s="8">
        <f>Table1[[#This Row],[PartyBVotes]]/Table1[[#This Row],[RegisteredVoters]]</f>
        <v>0.47058823529411764</v>
      </c>
      <c r="L590" s="8">
        <f>Table1[[#This Row],[PartyCVotes]]/Table1[[#This Row],[RegisteredVoters]]</f>
        <v>1.9607843137254902E-2</v>
      </c>
      <c r="M590">
        <f>ABS(Table1[[#This Row],[PartyAVotes]]-Table1[[#This Row],[PartyBVotes]])</f>
        <v>25</v>
      </c>
      <c r="N590" s="11">
        <f>Table1[[#This Row],[TotalVotesCast]]/Table1[[#This Row],[RegisteredVoters]]</f>
        <v>0.98529411764705888</v>
      </c>
      <c r="O590" t="str">
        <f>IF(Table1[[#This Row],[RegisteredVoters]]=Table1[[#This Row],[TotalVotesCast]],"Match","")</f>
        <v/>
      </c>
    </row>
    <row r="591" spans="1:15" ht="13.2">
      <c r="A591" s="1" t="s">
        <v>693</v>
      </c>
      <c r="B591" t="s">
        <v>21</v>
      </c>
      <c r="C591" t="s">
        <v>23</v>
      </c>
      <c r="D591" t="s">
        <v>598</v>
      </c>
      <c r="E591">
        <v>1080</v>
      </c>
      <c r="F591">
        <v>535</v>
      </c>
      <c r="G591">
        <v>510</v>
      </c>
      <c r="H591">
        <v>20</v>
      </c>
      <c r="I591">
        <v>1065</v>
      </c>
      <c r="J591" s="8">
        <f>Table1[[#This Row],[PartyAVotes]]/Table1[[#This Row],[RegisteredVoters]]</f>
        <v>0.49537037037037035</v>
      </c>
      <c r="K591" s="8">
        <f>Table1[[#This Row],[PartyBVotes]]/Table1[[#This Row],[RegisteredVoters]]</f>
        <v>0.47222222222222221</v>
      </c>
      <c r="L591" s="8">
        <f>Table1[[#This Row],[PartyCVotes]]/Table1[[#This Row],[RegisteredVoters]]</f>
        <v>1.8518518518518517E-2</v>
      </c>
      <c r="M591">
        <f>ABS(Table1[[#This Row],[PartyAVotes]]-Table1[[#This Row],[PartyBVotes]])</f>
        <v>25</v>
      </c>
      <c r="N591" s="11">
        <f>Table1[[#This Row],[TotalVotesCast]]/Table1[[#This Row],[RegisteredVoters]]</f>
        <v>0.98611111111111116</v>
      </c>
      <c r="O591" t="str">
        <f>IF(Table1[[#This Row],[RegisteredVoters]]=Table1[[#This Row],[TotalVotesCast]],"Match","")</f>
        <v/>
      </c>
    </row>
    <row r="592" spans="1:15" ht="13.2">
      <c r="A592" s="1" t="s">
        <v>694</v>
      </c>
      <c r="B592" t="s">
        <v>10</v>
      </c>
      <c r="C592" t="s">
        <v>11</v>
      </c>
      <c r="D592" t="s">
        <v>661</v>
      </c>
      <c r="E592">
        <v>610</v>
      </c>
      <c r="F592">
        <v>295</v>
      </c>
      <c r="G592">
        <v>275</v>
      </c>
      <c r="H592">
        <v>10</v>
      </c>
      <c r="I592">
        <v>580</v>
      </c>
      <c r="J592" s="8">
        <f>Table1[[#This Row],[PartyAVotes]]/Table1[[#This Row],[RegisteredVoters]]</f>
        <v>0.48360655737704916</v>
      </c>
      <c r="K592" s="8">
        <f>Table1[[#This Row],[PartyBVotes]]/Table1[[#This Row],[RegisteredVoters]]</f>
        <v>0.45081967213114754</v>
      </c>
      <c r="L592" s="8">
        <f>Table1[[#This Row],[PartyCVotes]]/Table1[[#This Row],[RegisteredVoters]]</f>
        <v>1.6393442622950821E-2</v>
      </c>
      <c r="M592">
        <f>ABS(Table1[[#This Row],[PartyAVotes]]-Table1[[#This Row],[PartyBVotes]])</f>
        <v>20</v>
      </c>
      <c r="N592" s="11">
        <f>Table1[[#This Row],[TotalVotesCast]]/Table1[[#This Row],[RegisteredVoters]]</f>
        <v>0.95081967213114749</v>
      </c>
      <c r="O592" t="str">
        <f>IF(Table1[[#This Row],[RegisteredVoters]]=Table1[[#This Row],[TotalVotesCast]],"Match","")</f>
        <v/>
      </c>
    </row>
    <row r="593" spans="1:15" ht="13.2">
      <c r="A593" s="1" t="s">
        <v>695</v>
      </c>
      <c r="B593" t="s">
        <v>15</v>
      </c>
      <c r="C593" t="s">
        <v>16</v>
      </c>
      <c r="D593" t="s">
        <v>661</v>
      </c>
      <c r="E593">
        <v>910</v>
      </c>
      <c r="F593">
        <v>445</v>
      </c>
      <c r="G593">
        <v>425</v>
      </c>
      <c r="H593">
        <v>15</v>
      </c>
      <c r="I593">
        <v>885</v>
      </c>
      <c r="J593" s="8">
        <f>Table1[[#This Row],[PartyAVotes]]/Table1[[#This Row],[RegisteredVoters]]</f>
        <v>0.48901098901098899</v>
      </c>
      <c r="K593" s="8">
        <f>Table1[[#This Row],[PartyBVotes]]/Table1[[#This Row],[RegisteredVoters]]</f>
        <v>0.46703296703296704</v>
      </c>
      <c r="L593" s="8">
        <f>Table1[[#This Row],[PartyCVotes]]/Table1[[#This Row],[RegisteredVoters]]</f>
        <v>1.6483516483516484E-2</v>
      </c>
      <c r="M593">
        <f>ABS(Table1[[#This Row],[PartyAVotes]]-Table1[[#This Row],[PartyBVotes]])</f>
        <v>20</v>
      </c>
      <c r="N593" s="11">
        <f>Table1[[#This Row],[TotalVotesCast]]/Table1[[#This Row],[RegisteredVoters]]</f>
        <v>0.97252747252747251</v>
      </c>
      <c r="O593" t="str">
        <f>IF(Table1[[#This Row],[RegisteredVoters]]=Table1[[#This Row],[TotalVotesCast]],"Match","")</f>
        <v/>
      </c>
    </row>
    <row r="594" spans="1:15" ht="13.2">
      <c r="A594" s="1" t="s">
        <v>696</v>
      </c>
      <c r="B594" t="s">
        <v>18</v>
      </c>
      <c r="C594" t="s">
        <v>20</v>
      </c>
      <c r="D594" t="s">
        <v>697</v>
      </c>
      <c r="E594">
        <v>1000</v>
      </c>
      <c r="F594">
        <v>495</v>
      </c>
      <c r="G594">
        <v>475</v>
      </c>
      <c r="H594">
        <v>15</v>
      </c>
      <c r="I594">
        <v>985</v>
      </c>
      <c r="J594" s="8">
        <f>Table1[[#This Row],[PartyAVotes]]/Table1[[#This Row],[RegisteredVoters]]</f>
        <v>0.495</v>
      </c>
      <c r="K594" s="8">
        <f>Table1[[#This Row],[PartyBVotes]]/Table1[[#This Row],[RegisteredVoters]]</f>
        <v>0.47499999999999998</v>
      </c>
      <c r="L594" s="8">
        <f>Table1[[#This Row],[PartyCVotes]]/Table1[[#This Row],[RegisteredVoters]]</f>
        <v>1.4999999999999999E-2</v>
      </c>
      <c r="M594">
        <f>ABS(Table1[[#This Row],[PartyAVotes]]-Table1[[#This Row],[PartyBVotes]])</f>
        <v>20</v>
      </c>
      <c r="N594" s="11">
        <f>Table1[[#This Row],[TotalVotesCast]]/Table1[[#This Row],[RegisteredVoters]]</f>
        <v>0.98499999999999999</v>
      </c>
      <c r="O594" t="str">
        <f>IF(Table1[[#This Row],[RegisteredVoters]]=Table1[[#This Row],[TotalVotesCast]],"Match","")</f>
        <v/>
      </c>
    </row>
    <row r="595" spans="1:15" ht="13.2">
      <c r="A595" s="1" t="s">
        <v>698</v>
      </c>
      <c r="B595" t="s">
        <v>21</v>
      </c>
      <c r="C595" t="s">
        <v>22</v>
      </c>
      <c r="D595" t="s">
        <v>652</v>
      </c>
      <c r="E595">
        <v>1260</v>
      </c>
      <c r="F595">
        <v>615</v>
      </c>
      <c r="G595">
        <v>585</v>
      </c>
      <c r="H595">
        <v>25</v>
      </c>
      <c r="I595">
        <v>1225</v>
      </c>
      <c r="J595" s="8">
        <f>Table1[[#This Row],[PartyAVotes]]/Table1[[#This Row],[RegisteredVoters]]</f>
        <v>0.48809523809523808</v>
      </c>
      <c r="K595" s="8">
        <f>Table1[[#This Row],[PartyBVotes]]/Table1[[#This Row],[RegisteredVoters]]</f>
        <v>0.4642857142857143</v>
      </c>
      <c r="L595" s="8">
        <f>Table1[[#This Row],[PartyCVotes]]/Table1[[#This Row],[RegisteredVoters]]</f>
        <v>1.984126984126984E-2</v>
      </c>
      <c r="M595">
        <f>ABS(Table1[[#This Row],[PartyAVotes]]-Table1[[#This Row],[PartyBVotes]])</f>
        <v>30</v>
      </c>
      <c r="N595" s="11">
        <f>Table1[[#This Row],[TotalVotesCast]]/Table1[[#This Row],[RegisteredVoters]]</f>
        <v>0.97222222222222221</v>
      </c>
      <c r="O595" t="str">
        <f>IF(Table1[[#This Row],[RegisteredVoters]]=Table1[[#This Row],[TotalVotesCast]],"Match","")</f>
        <v/>
      </c>
    </row>
    <row r="596" spans="1:15" ht="13.2">
      <c r="A596" s="1" t="s">
        <v>699</v>
      </c>
      <c r="B596" t="s">
        <v>10</v>
      </c>
      <c r="C596" t="s">
        <v>14</v>
      </c>
      <c r="D596" t="s">
        <v>616</v>
      </c>
      <c r="E596">
        <v>710</v>
      </c>
      <c r="F596">
        <v>345</v>
      </c>
      <c r="G596">
        <v>325</v>
      </c>
      <c r="H596">
        <v>15</v>
      </c>
      <c r="I596">
        <v>685</v>
      </c>
      <c r="J596" s="8">
        <f>Table1[[#This Row],[PartyAVotes]]/Table1[[#This Row],[RegisteredVoters]]</f>
        <v>0.4859154929577465</v>
      </c>
      <c r="K596" s="8">
        <f>Table1[[#This Row],[PartyBVotes]]/Table1[[#This Row],[RegisteredVoters]]</f>
        <v>0.45774647887323944</v>
      </c>
      <c r="L596" s="8">
        <f>Table1[[#This Row],[PartyCVotes]]/Table1[[#This Row],[RegisteredVoters]]</f>
        <v>2.1126760563380281E-2</v>
      </c>
      <c r="M596">
        <f>ABS(Table1[[#This Row],[PartyAVotes]]-Table1[[#This Row],[PartyBVotes]])</f>
        <v>20</v>
      </c>
      <c r="N596" s="11">
        <f>Table1[[#This Row],[TotalVotesCast]]/Table1[[#This Row],[RegisteredVoters]]</f>
        <v>0.96478873239436624</v>
      </c>
      <c r="O596" t="str">
        <f>IF(Table1[[#This Row],[RegisteredVoters]]=Table1[[#This Row],[TotalVotesCast]],"Match","")</f>
        <v/>
      </c>
    </row>
    <row r="597" spans="1:15" ht="13.2">
      <c r="A597" s="1" t="s">
        <v>700</v>
      </c>
      <c r="B597" t="s">
        <v>15</v>
      </c>
      <c r="C597" t="s">
        <v>17</v>
      </c>
      <c r="D597" t="s">
        <v>598</v>
      </c>
      <c r="E597">
        <v>760</v>
      </c>
      <c r="F597">
        <v>375</v>
      </c>
      <c r="G597">
        <v>355</v>
      </c>
      <c r="H597">
        <v>15</v>
      </c>
      <c r="I597">
        <v>745</v>
      </c>
      <c r="J597" s="8">
        <f>Table1[[#This Row],[PartyAVotes]]/Table1[[#This Row],[RegisteredVoters]]</f>
        <v>0.49342105263157893</v>
      </c>
      <c r="K597" s="8">
        <f>Table1[[#This Row],[PartyBVotes]]/Table1[[#This Row],[RegisteredVoters]]</f>
        <v>0.46710526315789475</v>
      </c>
      <c r="L597" s="8">
        <f>Table1[[#This Row],[PartyCVotes]]/Table1[[#This Row],[RegisteredVoters]]</f>
        <v>1.9736842105263157E-2</v>
      </c>
      <c r="M597">
        <f>ABS(Table1[[#This Row],[PartyAVotes]]-Table1[[#This Row],[PartyBVotes]])</f>
        <v>20</v>
      </c>
      <c r="N597" s="11">
        <f>Table1[[#This Row],[TotalVotesCast]]/Table1[[#This Row],[RegisteredVoters]]</f>
        <v>0.98026315789473684</v>
      </c>
      <c r="O597" t="str">
        <f>IF(Table1[[#This Row],[RegisteredVoters]]=Table1[[#This Row],[TotalVotesCast]],"Match","")</f>
        <v/>
      </c>
    </row>
    <row r="598" spans="1:15" ht="13.2">
      <c r="A598" s="1" t="s">
        <v>701</v>
      </c>
      <c r="B598" t="s">
        <v>18</v>
      </c>
      <c r="C598" t="s">
        <v>19</v>
      </c>
      <c r="D598" t="s">
        <v>625</v>
      </c>
      <c r="E598">
        <v>1030</v>
      </c>
      <c r="F598">
        <v>510</v>
      </c>
      <c r="G598">
        <v>485</v>
      </c>
      <c r="H598">
        <v>20</v>
      </c>
      <c r="I598">
        <v>1015</v>
      </c>
      <c r="J598" s="8">
        <f>Table1[[#This Row],[PartyAVotes]]/Table1[[#This Row],[RegisteredVoters]]</f>
        <v>0.49514563106796117</v>
      </c>
      <c r="K598" s="8">
        <f>Table1[[#This Row],[PartyBVotes]]/Table1[[#This Row],[RegisteredVoters]]</f>
        <v>0.470873786407767</v>
      </c>
      <c r="L598" s="8">
        <f>Table1[[#This Row],[PartyCVotes]]/Table1[[#This Row],[RegisteredVoters]]</f>
        <v>1.9417475728155338E-2</v>
      </c>
      <c r="M598">
        <f>ABS(Table1[[#This Row],[PartyAVotes]]-Table1[[#This Row],[PartyBVotes]])</f>
        <v>25</v>
      </c>
      <c r="N598" s="11">
        <f>Table1[[#This Row],[TotalVotesCast]]/Table1[[#This Row],[RegisteredVoters]]</f>
        <v>0.9854368932038835</v>
      </c>
      <c r="O598" t="str">
        <f>IF(Table1[[#This Row],[RegisteredVoters]]=Table1[[#This Row],[TotalVotesCast]],"Match","")</f>
        <v/>
      </c>
    </row>
    <row r="599" spans="1:15" ht="13.2">
      <c r="A599" s="1" t="s">
        <v>702</v>
      </c>
      <c r="B599" t="s">
        <v>21</v>
      </c>
      <c r="C599" t="s">
        <v>23</v>
      </c>
      <c r="D599" t="s">
        <v>607</v>
      </c>
      <c r="E599">
        <v>1090</v>
      </c>
      <c r="F599">
        <v>540</v>
      </c>
      <c r="G599">
        <v>515</v>
      </c>
      <c r="H599">
        <v>20</v>
      </c>
      <c r="I599">
        <v>1075</v>
      </c>
      <c r="J599" s="8">
        <f>Table1[[#This Row],[PartyAVotes]]/Table1[[#This Row],[RegisteredVoters]]</f>
        <v>0.49541284403669728</v>
      </c>
      <c r="K599" s="8">
        <f>Table1[[#This Row],[PartyBVotes]]/Table1[[#This Row],[RegisteredVoters]]</f>
        <v>0.47247706422018348</v>
      </c>
      <c r="L599" s="8">
        <f>Table1[[#This Row],[PartyCVotes]]/Table1[[#This Row],[RegisteredVoters]]</f>
        <v>1.834862385321101E-2</v>
      </c>
      <c r="M599">
        <f>ABS(Table1[[#This Row],[PartyAVotes]]-Table1[[#This Row],[PartyBVotes]])</f>
        <v>25</v>
      </c>
      <c r="N599" s="11">
        <f>Table1[[#This Row],[TotalVotesCast]]/Table1[[#This Row],[RegisteredVoters]]</f>
        <v>0.98623853211009171</v>
      </c>
      <c r="O599" t="str">
        <f>IF(Table1[[#This Row],[RegisteredVoters]]=Table1[[#This Row],[TotalVotesCast]],"Match","")</f>
        <v/>
      </c>
    </row>
    <row r="600" spans="1:15" ht="13.2">
      <c r="A600" s="1" t="s">
        <v>703</v>
      </c>
      <c r="B600" t="s">
        <v>10</v>
      </c>
      <c r="C600" t="s">
        <v>11</v>
      </c>
      <c r="D600" t="s">
        <v>670</v>
      </c>
      <c r="E600">
        <v>620</v>
      </c>
      <c r="F600">
        <v>300</v>
      </c>
      <c r="G600">
        <v>280</v>
      </c>
      <c r="H600">
        <v>10</v>
      </c>
      <c r="I600">
        <v>590</v>
      </c>
      <c r="J600" s="8">
        <f>Table1[[#This Row],[PartyAVotes]]/Table1[[#This Row],[RegisteredVoters]]</f>
        <v>0.4838709677419355</v>
      </c>
      <c r="K600" s="8">
        <f>Table1[[#This Row],[PartyBVotes]]/Table1[[#This Row],[RegisteredVoters]]</f>
        <v>0.45161290322580644</v>
      </c>
      <c r="L600" s="8">
        <f>Table1[[#This Row],[PartyCVotes]]/Table1[[#This Row],[RegisteredVoters]]</f>
        <v>1.6129032258064516E-2</v>
      </c>
      <c r="M600">
        <f>ABS(Table1[[#This Row],[PartyAVotes]]-Table1[[#This Row],[PartyBVotes]])</f>
        <v>20</v>
      </c>
      <c r="N600" s="11">
        <f>Table1[[#This Row],[TotalVotesCast]]/Table1[[#This Row],[RegisteredVoters]]</f>
        <v>0.95161290322580649</v>
      </c>
      <c r="O600" t="str">
        <f>IF(Table1[[#This Row],[RegisteredVoters]]=Table1[[#This Row],[TotalVotesCast]],"Match","")</f>
        <v/>
      </c>
    </row>
    <row r="601" spans="1:15" ht="13.2">
      <c r="A601" s="1" t="s">
        <v>704</v>
      </c>
      <c r="B601" t="s">
        <v>15</v>
      </c>
      <c r="C601" t="s">
        <v>16</v>
      </c>
      <c r="D601" t="s">
        <v>670</v>
      </c>
      <c r="E601">
        <v>920</v>
      </c>
      <c r="F601">
        <v>450</v>
      </c>
      <c r="G601">
        <v>430</v>
      </c>
      <c r="H601">
        <v>15</v>
      </c>
      <c r="I601">
        <v>895</v>
      </c>
      <c r="J601" s="8">
        <f>Table1[[#This Row],[PartyAVotes]]/Table1[[#This Row],[RegisteredVoters]]</f>
        <v>0.4891304347826087</v>
      </c>
      <c r="K601" s="8">
        <f>Table1[[#This Row],[PartyBVotes]]/Table1[[#This Row],[RegisteredVoters]]</f>
        <v>0.46739130434782611</v>
      </c>
      <c r="L601" s="8">
        <f>Table1[[#This Row],[PartyCVotes]]/Table1[[#This Row],[RegisteredVoters]]</f>
        <v>1.6304347826086956E-2</v>
      </c>
      <c r="M601">
        <f>ABS(Table1[[#This Row],[PartyAVotes]]-Table1[[#This Row],[PartyBVotes]])</f>
        <v>20</v>
      </c>
      <c r="N601" s="11">
        <f>Table1[[#This Row],[TotalVotesCast]]/Table1[[#This Row],[RegisteredVoters]]</f>
        <v>0.97282608695652173</v>
      </c>
      <c r="O601" t="str">
        <f>IF(Table1[[#This Row],[RegisteredVoters]]=Table1[[#This Row],[TotalVotesCast]],"Match","")</f>
        <v/>
      </c>
    </row>
    <row r="602" spans="1:15" ht="13.2">
      <c r="A602" s="1" t="s">
        <v>705</v>
      </c>
      <c r="B602" t="s">
        <v>18</v>
      </c>
      <c r="C602" t="s">
        <v>20</v>
      </c>
      <c r="D602" t="s">
        <v>706</v>
      </c>
      <c r="E602">
        <v>1010</v>
      </c>
      <c r="F602">
        <v>500</v>
      </c>
      <c r="G602">
        <v>480</v>
      </c>
      <c r="H602">
        <v>15</v>
      </c>
      <c r="I602">
        <v>995</v>
      </c>
      <c r="J602" s="8">
        <f>Table1[[#This Row],[PartyAVotes]]/Table1[[#This Row],[RegisteredVoters]]</f>
        <v>0.49504950495049505</v>
      </c>
      <c r="K602" s="8">
        <f>Table1[[#This Row],[PartyBVotes]]/Table1[[#This Row],[RegisteredVoters]]</f>
        <v>0.47524752475247523</v>
      </c>
      <c r="L602" s="8">
        <f>Table1[[#This Row],[PartyCVotes]]/Table1[[#This Row],[RegisteredVoters]]</f>
        <v>1.4851485148514851E-2</v>
      </c>
      <c r="M602">
        <f>ABS(Table1[[#This Row],[PartyAVotes]]-Table1[[#This Row],[PartyBVotes]])</f>
        <v>20</v>
      </c>
      <c r="N602" s="11">
        <f>Table1[[#This Row],[TotalVotesCast]]/Table1[[#This Row],[RegisteredVoters]]</f>
        <v>0.98514851485148514</v>
      </c>
      <c r="O602" t="str">
        <f>IF(Table1[[#This Row],[RegisteredVoters]]=Table1[[#This Row],[TotalVotesCast]],"Match","")</f>
        <v/>
      </c>
    </row>
    <row r="603" spans="1:15" ht="13.2">
      <c r="A603" s="1" t="s">
        <v>707</v>
      </c>
      <c r="B603" t="s">
        <v>21</v>
      </c>
      <c r="C603" t="s">
        <v>22</v>
      </c>
      <c r="D603" t="s">
        <v>661</v>
      </c>
      <c r="E603">
        <v>1270</v>
      </c>
      <c r="F603">
        <v>620</v>
      </c>
      <c r="G603">
        <v>590</v>
      </c>
      <c r="H603">
        <v>25</v>
      </c>
      <c r="I603">
        <v>1235</v>
      </c>
      <c r="J603" s="8">
        <f>Table1[[#This Row],[PartyAVotes]]/Table1[[#This Row],[RegisteredVoters]]</f>
        <v>0.48818897637795278</v>
      </c>
      <c r="K603" s="8">
        <f>Table1[[#This Row],[PartyBVotes]]/Table1[[#This Row],[RegisteredVoters]]</f>
        <v>0.46456692913385828</v>
      </c>
      <c r="L603" s="8">
        <f>Table1[[#This Row],[PartyCVotes]]/Table1[[#This Row],[RegisteredVoters]]</f>
        <v>1.968503937007874E-2</v>
      </c>
      <c r="M603">
        <f>ABS(Table1[[#This Row],[PartyAVotes]]-Table1[[#This Row],[PartyBVotes]])</f>
        <v>30</v>
      </c>
      <c r="N603" s="11">
        <f>Table1[[#This Row],[TotalVotesCast]]/Table1[[#This Row],[RegisteredVoters]]</f>
        <v>0.97244094488188981</v>
      </c>
      <c r="O603" t="str">
        <f>IF(Table1[[#This Row],[RegisteredVoters]]=Table1[[#This Row],[TotalVotesCast]],"Match","")</f>
        <v/>
      </c>
    </row>
    <row r="604" spans="1:15" ht="13.2">
      <c r="A604" s="1" t="s">
        <v>708</v>
      </c>
      <c r="B604" t="s">
        <v>10</v>
      </c>
      <c r="C604" t="s">
        <v>11</v>
      </c>
      <c r="D604" t="s">
        <v>679</v>
      </c>
      <c r="E604">
        <v>630</v>
      </c>
      <c r="F604">
        <v>305</v>
      </c>
      <c r="G604">
        <v>285</v>
      </c>
      <c r="H604">
        <v>10</v>
      </c>
      <c r="I604">
        <v>600</v>
      </c>
      <c r="J604" s="8">
        <f>Table1[[#This Row],[PartyAVotes]]/Table1[[#This Row],[RegisteredVoters]]</f>
        <v>0.48412698412698413</v>
      </c>
      <c r="K604" s="8">
        <f>Table1[[#This Row],[PartyBVotes]]/Table1[[#This Row],[RegisteredVoters]]</f>
        <v>0.45238095238095238</v>
      </c>
      <c r="L604" s="8">
        <f>Table1[[#This Row],[PartyCVotes]]/Table1[[#This Row],[RegisteredVoters]]</f>
        <v>1.5873015873015872E-2</v>
      </c>
      <c r="M604">
        <f>ABS(Table1[[#This Row],[PartyAVotes]]-Table1[[#This Row],[PartyBVotes]])</f>
        <v>20</v>
      </c>
      <c r="N604" s="11">
        <f>Table1[[#This Row],[TotalVotesCast]]/Table1[[#This Row],[RegisteredVoters]]</f>
        <v>0.95238095238095233</v>
      </c>
      <c r="O604" t="str">
        <f>IF(Table1[[#This Row],[RegisteredVoters]]=Table1[[#This Row],[TotalVotesCast]],"Match","")</f>
        <v/>
      </c>
    </row>
    <row r="605" spans="1:15" ht="13.2">
      <c r="A605" s="1" t="s">
        <v>709</v>
      </c>
      <c r="B605" t="s">
        <v>15</v>
      </c>
      <c r="C605" t="s">
        <v>16</v>
      </c>
      <c r="D605" t="s">
        <v>679</v>
      </c>
      <c r="E605">
        <v>930</v>
      </c>
      <c r="F605">
        <v>455</v>
      </c>
      <c r="G605">
        <v>435</v>
      </c>
      <c r="H605">
        <v>15</v>
      </c>
      <c r="I605">
        <v>905</v>
      </c>
      <c r="J605" s="8">
        <f>Table1[[#This Row],[PartyAVotes]]/Table1[[#This Row],[RegisteredVoters]]</f>
        <v>0.489247311827957</v>
      </c>
      <c r="K605" s="8">
        <f>Table1[[#This Row],[PartyBVotes]]/Table1[[#This Row],[RegisteredVoters]]</f>
        <v>0.46774193548387094</v>
      </c>
      <c r="L605" s="8">
        <f>Table1[[#This Row],[PartyCVotes]]/Table1[[#This Row],[RegisteredVoters]]</f>
        <v>1.6129032258064516E-2</v>
      </c>
      <c r="M605">
        <f>ABS(Table1[[#This Row],[PartyAVotes]]-Table1[[#This Row],[PartyBVotes]])</f>
        <v>20</v>
      </c>
      <c r="N605" s="11">
        <f>Table1[[#This Row],[TotalVotesCast]]/Table1[[#This Row],[RegisteredVoters]]</f>
        <v>0.9731182795698925</v>
      </c>
      <c r="O605" t="str">
        <f>IF(Table1[[#This Row],[RegisteredVoters]]=Table1[[#This Row],[TotalVotesCast]],"Match","")</f>
        <v/>
      </c>
    </row>
    <row r="606" spans="1:15" ht="13.2">
      <c r="A606" s="1" t="s">
        <v>710</v>
      </c>
      <c r="B606" t="s">
        <v>18</v>
      </c>
      <c r="C606" t="s">
        <v>20</v>
      </c>
      <c r="D606" t="s">
        <v>711</v>
      </c>
      <c r="E606">
        <v>1020</v>
      </c>
      <c r="F606">
        <v>505</v>
      </c>
      <c r="G606">
        <v>485</v>
      </c>
      <c r="H606">
        <v>15</v>
      </c>
      <c r="I606">
        <v>1005</v>
      </c>
      <c r="J606" s="8">
        <f>Table1[[#This Row],[PartyAVotes]]/Table1[[#This Row],[RegisteredVoters]]</f>
        <v>0.49509803921568629</v>
      </c>
      <c r="K606" s="8">
        <f>Table1[[#This Row],[PartyBVotes]]/Table1[[#This Row],[RegisteredVoters]]</f>
        <v>0.47549019607843135</v>
      </c>
      <c r="L606" s="8">
        <f>Table1[[#This Row],[PartyCVotes]]/Table1[[#This Row],[RegisteredVoters]]</f>
        <v>1.4705882352941176E-2</v>
      </c>
      <c r="M606">
        <f>ABS(Table1[[#This Row],[PartyAVotes]]-Table1[[#This Row],[PartyBVotes]])</f>
        <v>20</v>
      </c>
      <c r="N606" s="11">
        <f>Table1[[#This Row],[TotalVotesCast]]/Table1[[#This Row],[RegisteredVoters]]</f>
        <v>0.98529411764705888</v>
      </c>
      <c r="O606" t="str">
        <f>IF(Table1[[#This Row],[RegisteredVoters]]=Table1[[#This Row],[TotalVotesCast]],"Match","")</f>
        <v/>
      </c>
    </row>
    <row r="607" spans="1:15" ht="13.2">
      <c r="A607" s="1" t="s">
        <v>712</v>
      </c>
      <c r="B607" t="s">
        <v>21</v>
      </c>
      <c r="C607" t="s">
        <v>22</v>
      </c>
      <c r="D607" t="s">
        <v>670</v>
      </c>
      <c r="E607">
        <v>1280</v>
      </c>
      <c r="F607">
        <v>625</v>
      </c>
      <c r="G607">
        <v>595</v>
      </c>
      <c r="H607">
        <v>25</v>
      </c>
      <c r="I607">
        <v>1245</v>
      </c>
      <c r="J607" s="8">
        <f>Table1[[#This Row],[PartyAVotes]]/Table1[[#This Row],[RegisteredVoters]]</f>
        <v>0.48828125</v>
      </c>
      <c r="K607" s="8">
        <f>Table1[[#This Row],[PartyBVotes]]/Table1[[#This Row],[RegisteredVoters]]</f>
        <v>0.46484375</v>
      </c>
      <c r="L607" s="8">
        <f>Table1[[#This Row],[PartyCVotes]]/Table1[[#This Row],[RegisteredVoters]]</f>
        <v>1.953125E-2</v>
      </c>
      <c r="M607">
        <f>ABS(Table1[[#This Row],[PartyAVotes]]-Table1[[#This Row],[PartyBVotes]])</f>
        <v>30</v>
      </c>
      <c r="N607" s="11">
        <f>Table1[[#This Row],[TotalVotesCast]]/Table1[[#This Row],[RegisteredVoters]]</f>
        <v>0.97265625</v>
      </c>
      <c r="O607" t="str">
        <f>IF(Table1[[#This Row],[RegisteredVoters]]=Table1[[#This Row],[TotalVotesCast]],"Match","")</f>
        <v/>
      </c>
    </row>
    <row r="608" spans="1:15" ht="13.2">
      <c r="A608" s="1" t="s">
        <v>713</v>
      </c>
      <c r="B608" t="s">
        <v>10</v>
      </c>
      <c r="C608" t="s">
        <v>14</v>
      </c>
      <c r="D608" t="s">
        <v>625</v>
      </c>
      <c r="E608">
        <v>720</v>
      </c>
      <c r="F608">
        <v>350</v>
      </c>
      <c r="G608">
        <v>330</v>
      </c>
      <c r="H608">
        <v>15</v>
      </c>
      <c r="I608">
        <v>695</v>
      </c>
      <c r="J608" s="8">
        <f>Table1[[#This Row],[PartyAVotes]]/Table1[[#This Row],[RegisteredVoters]]</f>
        <v>0.4861111111111111</v>
      </c>
      <c r="K608" s="8">
        <f>Table1[[#This Row],[PartyBVotes]]/Table1[[#This Row],[RegisteredVoters]]</f>
        <v>0.45833333333333331</v>
      </c>
      <c r="L608" s="8">
        <f>Table1[[#This Row],[PartyCVotes]]/Table1[[#This Row],[RegisteredVoters]]</f>
        <v>2.0833333333333332E-2</v>
      </c>
      <c r="M608">
        <f>ABS(Table1[[#This Row],[PartyAVotes]]-Table1[[#This Row],[PartyBVotes]])</f>
        <v>20</v>
      </c>
      <c r="N608" s="11">
        <f>Table1[[#This Row],[TotalVotesCast]]/Table1[[#This Row],[RegisteredVoters]]</f>
        <v>0.96527777777777779</v>
      </c>
      <c r="O608" t="str">
        <f>IF(Table1[[#This Row],[RegisteredVoters]]=Table1[[#This Row],[TotalVotesCast]],"Match","")</f>
        <v/>
      </c>
    </row>
    <row r="609" spans="1:15" ht="13.2">
      <c r="A609" s="1" t="s">
        <v>714</v>
      </c>
      <c r="B609" t="s">
        <v>15</v>
      </c>
      <c r="C609" t="s">
        <v>17</v>
      </c>
      <c r="D609" t="s">
        <v>607</v>
      </c>
      <c r="E609">
        <v>770</v>
      </c>
      <c r="F609">
        <v>380</v>
      </c>
      <c r="G609">
        <v>360</v>
      </c>
      <c r="H609">
        <v>15</v>
      </c>
      <c r="I609">
        <v>755</v>
      </c>
      <c r="J609" s="8">
        <f>Table1[[#This Row],[PartyAVotes]]/Table1[[#This Row],[RegisteredVoters]]</f>
        <v>0.4935064935064935</v>
      </c>
      <c r="K609" s="8">
        <f>Table1[[#This Row],[PartyBVotes]]/Table1[[#This Row],[RegisteredVoters]]</f>
        <v>0.46753246753246752</v>
      </c>
      <c r="L609" s="8">
        <f>Table1[[#This Row],[PartyCVotes]]/Table1[[#This Row],[RegisteredVoters]]</f>
        <v>1.948051948051948E-2</v>
      </c>
      <c r="M609">
        <f>ABS(Table1[[#This Row],[PartyAVotes]]-Table1[[#This Row],[PartyBVotes]])</f>
        <v>20</v>
      </c>
      <c r="N609" s="11">
        <f>Table1[[#This Row],[TotalVotesCast]]/Table1[[#This Row],[RegisteredVoters]]</f>
        <v>0.98051948051948057</v>
      </c>
      <c r="O609" t="str">
        <f>IF(Table1[[#This Row],[RegisteredVoters]]=Table1[[#This Row],[TotalVotesCast]],"Match","")</f>
        <v/>
      </c>
    </row>
    <row r="610" spans="1:15" ht="13.2">
      <c r="A610" s="1" t="s">
        <v>715</v>
      </c>
      <c r="B610" t="s">
        <v>18</v>
      </c>
      <c r="C610" t="s">
        <v>19</v>
      </c>
      <c r="D610" t="s">
        <v>634</v>
      </c>
      <c r="E610">
        <v>1040</v>
      </c>
      <c r="F610">
        <v>515</v>
      </c>
      <c r="G610">
        <v>490</v>
      </c>
      <c r="H610">
        <v>20</v>
      </c>
      <c r="I610">
        <v>1025</v>
      </c>
      <c r="J610" s="8">
        <f>Table1[[#This Row],[PartyAVotes]]/Table1[[#This Row],[RegisteredVoters]]</f>
        <v>0.49519230769230771</v>
      </c>
      <c r="K610" s="8">
        <f>Table1[[#This Row],[PartyBVotes]]/Table1[[#This Row],[RegisteredVoters]]</f>
        <v>0.47115384615384615</v>
      </c>
      <c r="L610" s="8">
        <f>Table1[[#This Row],[PartyCVotes]]/Table1[[#This Row],[RegisteredVoters]]</f>
        <v>1.9230769230769232E-2</v>
      </c>
      <c r="M610">
        <f>ABS(Table1[[#This Row],[PartyAVotes]]-Table1[[#This Row],[PartyBVotes]])</f>
        <v>25</v>
      </c>
      <c r="N610" s="11">
        <f>Table1[[#This Row],[TotalVotesCast]]/Table1[[#This Row],[RegisteredVoters]]</f>
        <v>0.98557692307692313</v>
      </c>
      <c r="O610" t="str">
        <f>IF(Table1[[#This Row],[RegisteredVoters]]=Table1[[#This Row],[TotalVotesCast]],"Match","")</f>
        <v/>
      </c>
    </row>
    <row r="611" spans="1:15" ht="13.2">
      <c r="A611" s="1" t="s">
        <v>716</v>
      </c>
      <c r="B611" t="s">
        <v>21</v>
      </c>
      <c r="C611" t="s">
        <v>23</v>
      </c>
      <c r="D611" t="s">
        <v>616</v>
      </c>
      <c r="E611">
        <v>1100</v>
      </c>
      <c r="F611">
        <v>545</v>
      </c>
      <c r="G611">
        <v>520</v>
      </c>
      <c r="H611">
        <v>20</v>
      </c>
      <c r="I611">
        <v>1085</v>
      </c>
      <c r="J611" s="8">
        <f>Table1[[#This Row],[PartyAVotes]]/Table1[[#This Row],[RegisteredVoters]]</f>
        <v>0.49545454545454548</v>
      </c>
      <c r="K611" s="8">
        <f>Table1[[#This Row],[PartyBVotes]]/Table1[[#This Row],[RegisteredVoters]]</f>
        <v>0.47272727272727272</v>
      </c>
      <c r="L611" s="8">
        <f>Table1[[#This Row],[PartyCVotes]]/Table1[[#This Row],[RegisteredVoters]]</f>
        <v>1.8181818181818181E-2</v>
      </c>
      <c r="M611">
        <f>ABS(Table1[[#This Row],[PartyAVotes]]-Table1[[#This Row],[PartyBVotes]])</f>
        <v>25</v>
      </c>
      <c r="N611" s="11">
        <f>Table1[[#This Row],[TotalVotesCast]]/Table1[[#This Row],[RegisteredVoters]]</f>
        <v>0.98636363636363633</v>
      </c>
      <c r="O611" t="str">
        <f>IF(Table1[[#This Row],[RegisteredVoters]]=Table1[[#This Row],[TotalVotesCast]],"Match","")</f>
        <v/>
      </c>
    </row>
    <row r="612" spans="1:15" ht="13.2">
      <c r="A612" s="1" t="s">
        <v>717</v>
      </c>
      <c r="B612" t="s">
        <v>10</v>
      </c>
      <c r="C612" t="s">
        <v>11</v>
      </c>
      <c r="D612" t="s">
        <v>688</v>
      </c>
      <c r="E612">
        <v>640</v>
      </c>
      <c r="F612">
        <v>310</v>
      </c>
      <c r="G612">
        <v>290</v>
      </c>
      <c r="H612">
        <v>10</v>
      </c>
      <c r="I612">
        <v>610</v>
      </c>
      <c r="J612" s="8">
        <f>Table1[[#This Row],[PartyAVotes]]/Table1[[#This Row],[RegisteredVoters]]</f>
        <v>0.484375</v>
      </c>
      <c r="K612" s="8">
        <f>Table1[[#This Row],[PartyBVotes]]/Table1[[#This Row],[RegisteredVoters]]</f>
        <v>0.453125</v>
      </c>
      <c r="L612" s="8">
        <f>Table1[[#This Row],[PartyCVotes]]/Table1[[#This Row],[RegisteredVoters]]</f>
        <v>1.5625E-2</v>
      </c>
      <c r="M612">
        <f>ABS(Table1[[#This Row],[PartyAVotes]]-Table1[[#This Row],[PartyBVotes]])</f>
        <v>20</v>
      </c>
      <c r="N612" s="11">
        <f>Table1[[#This Row],[TotalVotesCast]]/Table1[[#This Row],[RegisteredVoters]]</f>
        <v>0.953125</v>
      </c>
      <c r="O612" t="str">
        <f>IF(Table1[[#This Row],[RegisteredVoters]]=Table1[[#This Row],[TotalVotesCast]],"Match","")</f>
        <v/>
      </c>
    </row>
    <row r="613" spans="1:15" ht="13.2">
      <c r="A613" s="1" t="s">
        <v>718</v>
      </c>
      <c r="B613" t="s">
        <v>15</v>
      </c>
      <c r="C613" t="s">
        <v>16</v>
      </c>
      <c r="D613" t="s">
        <v>688</v>
      </c>
      <c r="E613">
        <v>940</v>
      </c>
      <c r="F613">
        <v>460</v>
      </c>
      <c r="G613">
        <v>440</v>
      </c>
      <c r="H613">
        <v>15</v>
      </c>
      <c r="I613">
        <v>915</v>
      </c>
      <c r="J613" s="8">
        <f>Table1[[#This Row],[PartyAVotes]]/Table1[[#This Row],[RegisteredVoters]]</f>
        <v>0.48936170212765956</v>
      </c>
      <c r="K613" s="8">
        <f>Table1[[#This Row],[PartyBVotes]]/Table1[[#This Row],[RegisteredVoters]]</f>
        <v>0.46808510638297873</v>
      </c>
      <c r="L613" s="8">
        <f>Table1[[#This Row],[PartyCVotes]]/Table1[[#This Row],[RegisteredVoters]]</f>
        <v>1.5957446808510637E-2</v>
      </c>
      <c r="M613">
        <f>ABS(Table1[[#This Row],[PartyAVotes]]-Table1[[#This Row],[PartyBVotes]])</f>
        <v>20</v>
      </c>
      <c r="N613" s="11">
        <f>Table1[[#This Row],[TotalVotesCast]]/Table1[[#This Row],[RegisteredVoters]]</f>
        <v>0.97340425531914898</v>
      </c>
      <c r="O613" t="str">
        <f>IF(Table1[[#This Row],[RegisteredVoters]]=Table1[[#This Row],[TotalVotesCast]],"Match","")</f>
        <v/>
      </c>
    </row>
    <row r="614" spans="1:15" ht="13.2">
      <c r="A614" s="1" t="s">
        <v>719</v>
      </c>
      <c r="B614" t="s">
        <v>18</v>
      </c>
      <c r="C614" t="s">
        <v>20</v>
      </c>
      <c r="D614" t="s">
        <v>720</v>
      </c>
      <c r="E614">
        <v>1030</v>
      </c>
      <c r="F614">
        <v>510</v>
      </c>
      <c r="G614">
        <v>490</v>
      </c>
      <c r="H614">
        <v>15</v>
      </c>
      <c r="I614">
        <v>1015</v>
      </c>
      <c r="J614" s="8">
        <f>Table1[[#This Row],[PartyAVotes]]/Table1[[#This Row],[RegisteredVoters]]</f>
        <v>0.49514563106796117</v>
      </c>
      <c r="K614" s="8">
        <f>Table1[[#This Row],[PartyBVotes]]/Table1[[#This Row],[RegisteredVoters]]</f>
        <v>0.47572815533980584</v>
      </c>
      <c r="L614" s="8">
        <f>Table1[[#This Row],[PartyCVotes]]/Table1[[#This Row],[RegisteredVoters]]</f>
        <v>1.4563106796116505E-2</v>
      </c>
      <c r="M614">
        <f>ABS(Table1[[#This Row],[PartyAVotes]]-Table1[[#This Row],[PartyBVotes]])</f>
        <v>20</v>
      </c>
      <c r="N614" s="11">
        <f>Table1[[#This Row],[TotalVotesCast]]/Table1[[#This Row],[RegisteredVoters]]</f>
        <v>0.9854368932038835</v>
      </c>
      <c r="O614" t="str">
        <f>IF(Table1[[#This Row],[RegisteredVoters]]=Table1[[#This Row],[TotalVotesCast]],"Match","")</f>
        <v/>
      </c>
    </row>
    <row r="615" spans="1:15" ht="13.2">
      <c r="A615" s="1" t="s">
        <v>721</v>
      </c>
      <c r="B615" t="s">
        <v>21</v>
      </c>
      <c r="C615" t="s">
        <v>22</v>
      </c>
      <c r="D615" t="s">
        <v>679</v>
      </c>
      <c r="E615">
        <v>1290</v>
      </c>
      <c r="F615">
        <v>630</v>
      </c>
      <c r="G615">
        <v>600</v>
      </c>
      <c r="H615">
        <v>25</v>
      </c>
      <c r="I615">
        <v>1255</v>
      </c>
      <c r="J615" s="8">
        <f>Table1[[#This Row],[PartyAVotes]]/Table1[[#This Row],[RegisteredVoters]]</f>
        <v>0.48837209302325579</v>
      </c>
      <c r="K615" s="8">
        <f>Table1[[#This Row],[PartyBVotes]]/Table1[[#This Row],[RegisteredVoters]]</f>
        <v>0.46511627906976744</v>
      </c>
      <c r="L615" s="8">
        <f>Table1[[#This Row],[PartyCVotes]]/Table1[[#This Row],[RegisteredVoters]]</f>
        <v>1.937984496124031E-2</v>
      </c>
      <c r="M615">
        <f>ABS(Table1[[#This Row],[PartyAVotes]]-Table1[[#This Row],[PartyBVotes]])</f>
        <v>30</v>
      </c>
      <c r="N615" s="11">
        <f>Table1[[#This Row],[TotalVotesCast]]/Table1[[#This Row],[RegisteredVoters]]</f>
        <v>0.97286821705426352</v>
      </c>
      <c r="O615" t="str">
        <f>IF(Table1[[#This Row],[RegisteredVoters]]=Table1[[#This Row],[TotalVotesCast]],"Match","")</f>
        <v/>
      </c>
    </row>
    <row r="616" spans="1:15" ht="13.2">
      <c r="A616" s="1" t="s">
        <v>722</v>
      </c>
      <c r="B616" t="s">
        <v>10</v>
      </c>
      <c r="C616" t="s">
        <v>14</v>
      </c>
      <c r="D616" t="s">
        <v>634</v>
      </c>
      <c r="E616">
        <v>730</v>
      </c>
      <c r="F616">
        <v>355</v>
      </c>
      <c r="G616">
        <v>335</v>
      </c>
      <c r="H616">
        <v>15</v>
      </c>
      <c r="I616">
        <v>705</v>
      </c>
      <c r="J616" s="8">
        <f>Table1[[#This Row],[PartyAVotes]]/Table1[[#This Row],[RegisteredVoters]]</f>
        <v>0.4863013698630137</v>
      </c>
      <c r="K616" s="8">
        <f>Table1[[#This Row],[PartyBVotes]]/Table1[[#This Row],[RegisteredVoters]]</f>
        <v>0.4589041095890411</v>
      </c>
      <c r="L616" s="8">
        <f>Table1[[#This Row],[PartyCVotes]]/Table1[[#This Row],[RegisteredVoters]]</f>
        <v>2.0547945205479451E-2</v>
      </c>
      <c r="M616">
        <f>ABS(Table1[[#This Row],[PartyAVotes]]-Table1[[#This Row],[PartyBVotes]])</f>
        <v>20</v>
      </c>
      <c r="N616" s="11">
        <f>Table1[[#This Row],[TotalVotesCast]]/Table1[[#This Row],[RegisteredVoters]]</f>
        <v>0.96575342465753422</v>
      </c>
      <c r="O616" t="str">
        <f>IF(Table1[[#This Row],[RegisteredVoters]]=Table1[[#This Row],[TotalVotesCast]],"Match","")</f>
        <v/>
      </c>
    </row>
    <row r="617" spans="1:15" ht="13.2">
      <c r="A617" s="1" t="s">
        <v>723</v>
      </c>
      <c r="B617" t="s">
        <v>15</v>
      </c>
      <c r="C617" t="s">
        <v>17</v>
      </c>
      <c r="D617" t="s">
        <v>616</v>
      </c>
      <c r="E617">
        <v>780</v>
      </c>
      <c r="F617">
        <v>385</v>
      </c>
      <c r="G617">
        <v>365</v>
      </c>
      <c r="H617">
        <v>15</v>
      </c>
      <c r="I617">
        <v>765</v>
      </c>
      <c r="J617" s="8">
        <f>Table1[[#This Row],[PartyAVotes]]/Table1[[#This Row],[RegisteredVoters]]</f>
        <v>0.49358974358974361</v>
      </c>
      <c r="K617" s="8">
        <f>Table1[[#This Row],[PartyBVotes]]/Table1[[#This Row],[RegisteredVoters]]</f>
        <v>0.46794871794871795</v>
      </c>
      <c r="L617" s="8">
        <f>Table1[[#This Row],[PartyCVotes]]/Table1[[#This Row],[RegisteredVoters]]</f>
        <v>1.9230769230769232E-2</v>
      </c>
      <c r="M617">
        <f>ABS(Table1[[#This Row],[PartyAVotes]]-Table1[[#This Row],[PartyBVotes]])</f>
        <v>20</v>
      </c>
      <c r="N617" s="11">
        <f>Table1[[#This Row],[TotalVotesCast]]/Table1[[#This Row],[RegisteredVoters]]</f>
        <v>0.98076923076923073</v>
      </c>
      <c r="O617" t="str">
        <f>IF(Table1[[#This Row],[RegisteredVoters]]=Table1[[#This Row],[TotalVotesCast]],"Match","")</f>
        <v/>
      </c>
    </row>
    <row r="618" spans="1:15" ht="13.2">
      <c r="A618" s="1" t="s">
        <v>724</v>
      </c>
      <c r="B618" t="s">
        <v>18</v>
      </c>
      <c r="C618" t="s">
        <v>19</v>
      </c>
      <c r="D618" t="s">
        <v>643</v>
      </c>
      <c r="E618">
        <v>1050</v>
      </c>
      <c r="F618">
        <v>520</v>
      </c>
      <c r="G618">
        <v>495</v>
      </c>
      <c r="H618">
        <v>20</v>
      </c>
      <c r="I618">
        <v>1035</v>
      </c>
      <c r="J618" s="8">
        <f>Table1[[#This Row],[PartyAVotes]]/Table1[[#This Row],[RegisteredVoters]]</f>
        <v>0.49523809523809526</v>
      </c>
      <c r="K618" s="8">
        <f>Table1[[#This Row],[PartyBVotes]]/Table1[[#This Row],[RegisteredVoters]]</f>
        <v>0.47142857142857142</v>
      </c>
      <c r="L618" s="8">
        <f>Table1[[#This Row],[PartyCVotes]]/Table1[[#This Row],[RegisteredVoters]]</f>
        <v>1.9047619047619049E-2</v>
      </c>
      <c r="M618">
        <f>ABS(Table1[[#This Row],[PartyAVotes]]-Table1[[#This Row],[PartyBVotes]])</f>
        <v>25</v>
      </c>
      <c r="N618" s="11">
        <f>Table1[[#This Row],[TotalVotesCast]]/Table1[[#This Row],[RegisteredVoters]]</f>
        <v>0.98571428571428577</v>
      </c>
      <c r="O618" t="str">
        <f>IF(Table1[[#This Row],[RegisteredVoters]]=Table1[[#This Row],[TotalVotesCast]],"Match","")</f>
        <v/>
      </c>
    </row>
    <row r="619" spans="1:15" ht="13.2">
      <c r="A619" s="1" t="s">
        <v>725</v>
      </c>
      <c r="B619" t="s">
        <v>21</v>
      </c>
      <c r="C619" t="s">
        <v>23</v>
      </c>
      <c r="D619" t="s">
        <v>625</v>
      </c>
      <c r="E619">
        <v>1110</v>
      </c>
      <c r="F619">
        <v>550</v>
      </c>
      <c r="G619">
        <v>525</v>
      </c>
      <c r="H619">
        <v>20</v>
      </c>
      <c r="I619">
        <v>1095</v>
      </c>
      <c r="J619" s="8">
        <f>Table1[[#This Row],[PartyAVotes]]/Table1[[#This Row],[RegisteredVoters]]</f>
        <v>0.49549549549549549</v>
      </c>
      <c r="K619" s="8">
        <f>Table1[[#This Row],[PartyBVotes]]/Table1[[#This Row],[RegisteredVoters]]</f>
        <v>0.47297297297297297</v>
      </c>
      <c r="L619" s="8">
        <f>Table1[[#This Row],[PartyCVotes]]/Table1[[#This Row],[RegisteredVoters]]</f>
        <v>1.8018018018018018E-2</v>
      </c>
      <c r="M619">
        <f>ABS(Table1[[#This Row],[PartyAVotes]]-Table1[[#This Row],[PartyBVotes]])</f>
        <v>25</v>
      </c>
      <c r="N619" s="11">
        <f>Table1[[#This Row],[TotalVotesCast]]/Table1[[#This Row],[RegisteredVoters]]</f>
        <v>0.98648648648648651</v>
      </c>
      <c r="O619" t="str">
        <f>IF(Table1[[#This Row],[RegisteredVoters]]=Table1[[#This Row],[TotalVotesCast]],"Match","")</f>
        <v/>
      </c>
    </row>
    <row r="620" spans="1:15" ht="13.2">
      <c r="A620" s="1" t="s">
        <v>726</v>
      </c>
      <c r="B620" t="s">
        <v>10</v>
      </c>
      <c r="C620" t="s">
        <v>11</v>
      </c>
      <c r="D620" t="s">
        <v>697</v>
      </c>
      <c r="E620">
        <v>650</v>
      </c>
      <c r="F620">
        <v>315</v>
      </c>
      <c r="G620">
        <v>295</v>
      </c>
      <c r="H620">
        <v>10</v>
      </c>
      <c r="I620">
        <v>620</v>
      </c>
      <c r="J620" s="8">
        <f>Table1[[#This Row],[PartyAVotes]]/Table1[[#This Row],[RegisteredVoters]]</f>
        <v>0.48461538461538461</v>
      </c>
      <c r="K620" s="8">
        <f>Table1[[#This Row],[PartyBVotes]]/Table1[[#This Row],[RegisteredVoters]]</f>
        <v>0.45384615384615384</v>
      </c>
      <c r="L620" s="8">
        <f>Table1[[#This Row],[PartyCVotes]]/Table1[[#This Row],[RegisteredVoters]]</f>
        <v>1.5384615384615385E-2</v>
      </c>
      <c r="M620">
        <f>ABS(Table1[[#This Row],[PartyAVotes]]-Table1[[#This Row],[PartyBVotes]])</f>
        <v>20</v>
      </c>
      <c r="N620" s="11">
        <f>Table1[[#This Row],[TotalVotesCast]]/Table1[[#This Row],[RegisteredVoters]]</f>
        <v>0.9538461538461539</v>
      </c>
      <c r="O620" t="str">
        <f>IF(Table1[[#This Row],[RegisteredVoters]]=Table1[[#This Row],[TotalVotesCast]],"Match","")</f>
        <v/>
      </c>
    </row>
    <row r="621" spans="1:15" ht="13.2">
      <c r="A621" s="1" t="s">
        <v>727</v>
      </c>
      <c r="B621" t="s">
        <v>15</v>
      </c>
      <c r="C621" t="s">
        <v>16</v>
      </c>
      <c r="D621" t="s">
        <v>697</v>
      </c>
      <c r="E621">
        <v>950</v>
      </c>
      <c r="F621">
        <v>465</v>
      </c>
      <c r="G621">
        <v>445</v>
      </c>
      <c r="H621">
        <v>15</v>
      </c>
      <c r="I621">
        <v>925</v>
      </c>
      <c r="J621" s="8">
        <f>Table1[[#This Row],[PartyAVotes]]/Table1[[#This Row],[RegisteredVoters]]</f>
        <v>0.48947368421052634</v>
      </c>
      <c r="K621" s="8">
        <f>Table1[[#This Row],[PartyBVotes]]/Table1[[#This Row],[RegisteredVoters]]</f>
        <v>0.46842105263157896</v>
      </c>
      <c r="L621" s="8">
        <f>Table1[[#This Row],[PartyCVotes]]/Table1[[#This Row],[RegisteredVoters]]</f>
        <v>1.5789473684210527E-2</v>
      </c>
      <c r="M621">
        <f>ABS(Table1[[#This Row],[PartyAVotes]]-Table1[[#This Row],[PartyBVotes]])</f>
        <v>20</v>
      </c>
      <c r="N621" s="11">
        <f>Table1[[#This Row],[TotalVotesCast]]/Table1[[#This Row],[RegisteredVoters]]</f>
        <v>0.97368421052631582</v>
      </c>
      <c r="O621" t="str">
        <f>IF(Table1[[#This Row],[RegisteredVoters]]=Table1[[#This Row],[TotalVotesCast]],"Match","")</f>
        <v/>
      </c>
    </row>
    <row r="622" spans="1:15" ht="13.2">
      <c r="A622" s="1" t="s">
        <v>728</v>
      </c>
      <c r="B622" t="s">
        <v>18</v>
      </c>
      <c r="C622" t="s">
        <v>20</v>
      </c>
      <c r="D622" t="s">
        <v>729</v>
      </c>
      <c r="E622">
        <v>1040</v>
      </c>
      <c r="F622">
        <v>515</v>
      </c>
      <c r="G622">
        <v>495</v>
      </c>
      <c r="H622">
        <v>15</v>
      </c>
      <c r="I622">
        <v>1025</v>
      </c>
      <c r="J622" s="8">
        <f>Table1[[#This Row],[PartyAVotes]]/Table1[[#This Row],[RegisteredVoters]]</f>
        <v>0.49519230769230771</v>
      </c>
      <c r="K622" s="8">
        <f>Table1[[#This Row],[PartyBVotes]]/Table1[[#This Row],[RegisteredVoters]]</f>
        <v>0.47596153846153844</v>
      </c>
      <c r="L622" s="8">
        <f>Table1[[#This Row],[PartyCVotes]]/Table1[[#This Row],[RegisteredVoters]]</f>
        <v>1.4423076923076924E-2</v>
      </c>
      <c r="M622">
        <f>ABS(Table1[[#This Row],[PartyAVotes]]-Table1[[#This Row],[PartyBVotes]])</f>
        <v>20</v>
      </c>
      <c r="N622" s="11">
        <f>Table1[[#This Row],[TotalVotesCast]]/Table1[[#This Row],[RegisteredVoters]]</f>
        <v>0.98557692307692313</v>
      </c>
      <c r="O622" t="str">
        <f>IF(Table1[[#This Row],[RegisteredVoters]]=Table1[[#This Row],[TotalVotesCast]],"Match","")</f>
        <v/>
      </c>
    </row>
    <row r="623" spans="1:15" ht="13.2">
      <c r="A623" s="1" t="s">
        <v>730</v>
      </c>
      <c r="B623" t="s">
        <v>21</v>
      </c>
      <c r="C623" t="s">
        <v>22</v>
      </c>
      <c r="D623" t="s">
        <v>688</v>
      </c>
      <c r="E623">
        <v>1300</v>
      </c>
      <c r="F623">
        <v>635</v>
      </c>
      <c r="G623">
        <v>605</v>
      </c>
      <c r="H623">
        <v>25</v>
      </c>
      <c r="I623">
        <v>1265</v>
      </c>
      <c r="J623" s="8">
        <f>Table1[[#This Row],[PartyAVotes]]/Table1[[#This Row],[RegisteredVoters]]</f>
        <v>0.48846153846153845</v>
      </c>
      <c r="K623" s="8">
        <f>Table1[[#This Row],[PartyBVotes]]/Table1[[#This Row],[RegisteredVoters]]</f>
        <v>0.4653846153846154</v>
      </c>
      <c r="L623" s="8">
        <f>Table1[[#This Row],[PartyCVotes]]/Table1[[#This Row],[RegisteredVoters]]</f>
        <v>1.9230769230769232E-2</v>
      </c>
      <c r="M623">
        <f>ABS(Table1[[#This Row],[PartyAVotes]]-Table1[[#This Row],[PartyBVotes]])</f>
        <v>30</v>
      </c>
      <c r="N623" s="11">
        <f>Table1[[#This Row],[TotalVotesCast]]/Table1[[#This Row],[RegisteredVoters]]</f>
        <v>0.97307692307692306</v>
      </c>
      <c r="O623" t="str">
        <f>IF(Table1[[#This Row],[RegisteredVoters]]=Table1[[#This Row],[TotalVotesCast]],"Match","")</f>
        <v/>
      </c>
    </row>
    <row r="624" spans="1:15" ht="13.2">
      <c r="A624" s="1" t="s">
        <v>731</v>
      </c>
      <c r="B624" t="s">
        <v>10</v>
      </c>
      <c r="C624" t="s">
        <v>14</v>
      </c>
      <c r="D624" t="s">
        <v>643</v>
      </c>
      <c r="E624">
        <v>740</v>
      </c>
      <c r="F624">
        <v>360</v>
      </c>
      <c r="G624">
        <v>340</v>
      </c>
      <c r="H624">
        <v>15</v>
      </c>
      <c r="I624">
        <v>715</v>
      </c>
      <c r="J624" s="8">
        <f>Table1[[#This Row],[PartyAVotes]]/Table1[[#This Row],[RegisteredVoters]]</f>
        <v>0.48648648648648651</v>
      </c>
      <c r="K624" s="8">
        <f>Table1[[#This Row],[PartyBVotes]]/Table1[[#This Row],[RegisteredVoters]]</f>
        <v>0.45945945945945948</v>
      </c>
      <c r="L624" s="8">
        <f>Table1[[#This Row],[PartyCVotes]]/Table1[[#This Row],[RegisteredVoters]]</f>
        <v>2.0270270270270271E-2</v>
      </c>
      <c r="M624">
        <f>ABS(Table1[[#This Row],[PartyAVotes]]-Table1[[#This Row],[PartyBVotes]])</f>
        <v>20</v>
      </c>
      <c r="N624" s="11">
        <f>Table1[[#This Row],[TotalVotesCast]]/Table1[[#This Row],[RegisteredVoters]]</f>
        <v>0.96621621621621623</v>
      </c>
      <c r="O624" t="str">
        <f>IF(Table1[[#This Row],[RegisteredVoters]]=Table1[[#This Row],[TotalVotesCast]],"Match","")</f>
        <v/>
      </c>
    </row>
    <row r="625" spans="1:15" ht="13.2">
      <c r="A625" s="1" t="s">
        <v>732</v>
      </c>
      <c r="B625" t="s">
        <v>15</v>
      </c>
      <c r="C625" t="s">
        <v>17</v>
      </c>
      <c r="D625" t="s">
        <v>625</v>
      </c>
      <c r="E625">
        <v>790</v>
      </c>
      <c r="F625">
        <v>390</v>
      </c>
      <c r="G625">
        <v>370</v>
      </c>
      <c r="H625">
        <v>15</v>
      </c>
      <c r="I625">
        <v>775</v>
      </c>
      <c r="J625" s="8">
        <f>Table1[[#This Row],[PartyAVotes]]/Table1[[#This Row],[RegisteredVoters]]</f>
        <v>0.49367088607594939</v>
      </c>
      <c r="K625" s="8">
        <f>Table1[[#This Row],[PartyBVotes]]/Table1[[#This Row],[RegisteredVoters]]</f>
        <v>0.46835443037974683</v>
      </c>
      <c r="L625" s="8">
        <f>Table1[[#This Row],[PartyCVotes]]/Table1[[#This Row],[RegisteredVoters]]</f>
        <v>1.8987341772151899E-2</v>
      </c>
      <c r="M625">
        <f>ABS(Table1[[#This Row],[PartyAVotes]]-Table1[[#This Row],[PartyBVotes]])</f>
        <v>20</v>
      </c>
      <c r="N625" s="11">
        <f>Table1[[#This Row],[TotalVotesCast]]/Table1[[#This Row],[RegisteredVoters]]</f>
        <v>0.98101265822784811</v>
      </c>
      <c r="O625" t="str">
        <f>IF(Table1[[#This Row],[RegisteredVoters]]=Table1[[#This Row],[TotalVotesCast]],"Match","")</f>
        <v/>
      </c>
    </row>
    <row r="626" spans="1:15" ht="13.2">
      <c r="A626" s="1" t="s">
        <v>733</v>
      </c>
      <c r="B626" t="s">
        <v>18</v>
      </c>
      <c r="C626" t="s">
        <v>19</v>
      </c>
      <c r="D626" t="s">
        <v>652</v>
      </c>
      <c r="E626">
        <v>1060</v>
      </c>
      <c r="F626">
        <v>525</v>
      </c>
      <c r="G626">
        <v>500</v>
      </c>
      <c r="H626">
        <v>20</v>
      </c>
      <c r="I626">
        <v>1045</v>
      </c>
      <c r="J626" s="8">
        <f>Table1[[#This Row],[PartyAVotes]]/Table1[[#This Row],[RegisteredVoters]]</f>
        <v>0.49528301886792453</v>
      </c>
      <c r="K626" s="8">
        <f>Table1[[#This Row],[PartyBVotes]]/Table1[[#This Row],[RegisteredVoters]]</f>
        <v>0.47169811320754718</v>
      </c>
      <c r="L626" s="8">
        <f>Table1[[#This Row],[PartyCVotes]]/Table1[[#This Row],[RegisteredVoters]]</f>
        <v>1.8867924528301886E-2</v>
      </c>
      <c r="M626">
        <f>ABS(Table1[[#This Row],[PartyAVotes]]-Table1[[#This Row],[PartyBVotes]])</f>
        <v>25</v>
      </c>
      <c r="N626" s="11">
        <f>Table1[[#This Row],[TotalVotesCast]]/Table1[[#This Row],[RegisteredVoters]]</f>
        <v>0.98584905660377353</v>
      </c>
      <c r="O626" t="str">
        <f>IF(Table1[[#This Row],[RegisteredVoters]]=Table1[[#This Row],[TotalVotesCast]],"Match","")</f>
        <v/>
      </c>
    </row>
    <row r="627" spans="1:15" ht="13.2">
      <c r="A627" s="1" t="s">
        <v>734</v>
      </c>
      <c r="B627" t="s">
        <v>21</v>
      </c>
      <c r="C627" t="s">
        <v>23</v>
      </c>
      <c r="D627" t="s">
        <v>634</v>
      </c>
      <c r="E627">
        <v>1120</v>
      </c>
      <c r="F627">
        <v>555</v>
      </c>
      <c r="G627">
        <v>530</v>
      </c>
      <c r="H627">
        <v>20</v>
      </c>
      <c r="I627">
        <v>1105</v>
      </c>
      <c r="J627" s="8">
        <f>Table1[[#This Row],[PartyAVotes]]/Table1[[#This Row],[RegisteredVoters]]</f>
        <v>0.4955357142857143</v>
      </c>
      <c r="K627" s="8">
        <f>Table1[[#This Row],[PartyBVotes]]/Table1[[#This Row],[RegisteredVoters]]</f>
        <v>0.4732142857142857</v>
      </c>
      <c r="L627" s="8">
        <f>Table1[[#This Row],[PartyCVotes]]/Table1[[#This Row],[RegisteredVoters]]</f>
        <v>1.7857142857142856E-2</v>
      </c>
      <c r="M627">
        <f>ABS(Table1[[#This Row],[PartyAVotes]]-Table1[[#This Row],[PartyBVotes]])</f>
        <v>25</v>
      </c>
      <c r="N627" s="11">
        <f>Table1[[#This Row],[TotalVotesCast]]/Table1[[#This Row],[RegisteredVoters]]</f>
        <v>0.9866071428571429</v>
      </c>
      <c r="O627" t="str">
        <f>IF(Table1[[#This Row],[RegisteredVoters]]=Table1[[#This Row],[TotalVotesCast]],"Match","")</f>
        <v/>
      </c>
    </row>
    <row r="628" spans="1:15" ht="13.2">
      <c r="A628" s="1" t="s">
        <v>735</v>
      </c>
      <c r="B628" t="s">
        <v>10</v>
      </c>
      <c r="C628" t="s">
        <v>11</v>
      </c>
      <c r="D628" t="s">
        <v>706</v>
      </c>
      <c r="E628">
        <v>660</v>
      </c>
      <c r="F628">
        <v>320</v>
      </c>
      <c r="G628">
        <v>300</v>
      </c>
      <c r="H628">
        <v>10</v>
      </c>
      <c r="I628">
        <v>630</v>
      </c>
      <c r="J628" s="8">
        <f>Table1[[#This Row],[PartyAVotes]]/Table1[[#This Row],[RegisteredVoters]]</f>
        <v>0.48484848484848486</v>
      </c>
      <c r="K628" s="8">
        <f>Table1[[#This Row],[PartyBVotes]]/Table1[[#This Row],[RegisteredVoters]]</f>
        <v>0.45454545454545453</v>
      </c>
      <c r="L628" s="8">
        <f>Table1[[#This Row],[PartyCVotes]]/Table1[[#This Row],[RegisteredVoters]]</f>
        <v>1.5151515151515152E-2</v>
      </c>
      <c r="M628">
        <f>ABS(Table1[[#This Row],[PartyAVotes]]-Table1[[#This Row],[PartyBVotes]])</f>
        <v>20</v>
      </c>
      <c r="N628" s="11">
        <f>Table1[[#This Row],[TotalVotesCast]]/Table1[[#This Row],[RegisteredVoters]]</f>
        <v>0.95454545454545459</v>
      </c>
      <c r="O628" t="str">
        <f>IF(Table1[[#This Row],[RegisteredVoters]]=Table1[[#This Row],[TotalVotesCast]],"Match","")</f>
        <v/>
      </c>
    </row>
    <row r="629" spans="1:15" ht="13.2">
      <c r="A629" s="1" t="s">
        <v>736</v>
      </c>
      <c r="B629" t="s">
        <v>15</v>
      </c>
      <c r="C629" t="s">
        <v>16</v>
      </c>
      <c r="D629" t="s">
        <v>706</v>
      </c>
      <c r="E629">
        <v>960</v>
      </c>
      <c r="F629">
        <v>470</v>
      </c>
      <c r="G629">
        <v>450</v>
      </c>
      <c r="H629">
        <v>15</v>
      </c>
      <c r="I629">
        <v>935</v>
      </c>
      <c r="J629" s="8">
        <f>Table1[[#This Row],[PartyAVotes]]/Table1[[#This Row],[RegisteredVoters]]</f>
        <v>0.48958333333333331</v>
      </c>
      <c r="K629" s="8">
        <f>Table1[[#This Row],[PartyBVotes]]/Table1[[#This Row],[RegisteredVoters]]</f>
        <v>0.46875</v>
      </c>
      <c r="L629" s="8">
        <f>Table1[[#This Row],[PartyCVotes]]/Table1[[#This Row],[RegisteredVoters]]</f>
        <v>1.5625E-2</v>
      </c>
      <c r="M629">
        <f>ABS(Table1[[#This Row],[PartyAVotes]]-Table1[[#This Row],[PartyBVotes]])</f>
        <v>20</v>
      </c>
      <c r="N629" s="11">
        <f>Table1[[#This Row],[TotalVotesCast]]/Table1[[#This Row],[RegisteredVoters]]</f>
        <v>0.97395833333333337</v>
      </c>
      <c r="O629" t="str">
        <f>IF(Table1[[#This Row],[RegisteredVoters]]=Table1[[#This Row],[TotalVotesCast]],"Match","")</f>
        <v/>
      </c>
    </row>
    <row r="630" spans="1:15" ht="13.2">
      <c r="A630" s="1" t="s">
        <v>737</v>
      </c>
      <c r="B630" t="s">
        <v>18</v>
      </c>
      <c r="C630" t="s">
        <v>20</v>
      </c>
      <c r="D630" t="s">
        <v>738</v>
      </c>
      <c r="E630">
        <v>1050</v>
      </c>
      <c r="F630">
        <v>520</v>
      </c>
      <c r="G630">
        <v>500</v>
      </c>
      <c r="H630">
        <v>15</v>
      </c>
      <c r="I630">
        <v>1035</v>
      </c>
      <c r="J630" s="8">
        <f>Table1[[#This Row],[PartyAVotes]]/Table1[[#This Row],[RegisteredVoters]]</f>
        <v>0.49523809523809526</v>
      </c>
      <c r="K630" s="8">
        <f>Table1[[#This Row],[PartyBVotes]]/Table1[[#This Row],[RegisteredVoters]]</f>
        <v>0.47619047619047616</v>
      </c>
      <c r="L630" s="8">
        <f>Table1[[#This Row],[PartyCVotes]]/Table1[[#This Row],[RegisteredVoters]]</f>
        <v>1.4285714285714285E-2</v>
      </c>
      <c r="M630">
        <f>ABS(Table1[[#This Row],[PartyAVotes]]-Table1[[#This Row],[PartyBVotes]])</f>
        <v>20</v>
      </c>
      <c r="N630" s="11">
        <f>Table1[[#This Row],[TotalVotesCast]]/Table1[[#This Row],[RegisteredVoters]]</f>
        <v>0.98571428571428577</v>
      </c>
      <c r="O630" t="str">
        <f>IF(Table1[[#This Row],[RegisteredVoters]]=Table1[[#This Row],[TotalVotesCast]],"Match","")</f>
        <v/>
      </c>
    </row>
    <row r="631" spans="1:15" ht="13.2">
      <c r="A631" s="1" t="s">
        <v>739</v>
      </c>
      <c r="B631" t="s">
        <v>21</v>
      </c>
      <c r="C631" t="s">
        <v>22</v>
      </c>
      <c r="D631" t="s">
        <v>697</v>
      </c>
      <c r="E631">
        <v>1310</v>
      </c>
      <c r="F631">
        <v>640</v>
      </c>
      <c r="G631">
        <v>610</v>
      </c>
      <c r="H631">
        <v>25</v>
      </c>
      <c r="I631">
        <v>1275</v>
      </c>
      <c r="J631" s="8">
        <f>Table1[[#This Row],[PartyAVotes]]/Table1[[#This Row],[RegisteredVoters]]</f>
        <v>0.48854961832061067</v>
      </c>
      <c r="K631" s="8">
        <f>Table1[[#This Row],[PartyBVotes]]/Table1[[#This Row],[RegisteredVoters]]</f>
        <v>0.46564885496183206</v>
      </c>
      <c r="L631" s="8">
        <f>Table1[[#This Row],[PartyCVotes]]/Table1[[#This Row],[RegisteredVoters]]</f>
        <v>1.9083969465648856E-2</v>
      </c>
      <c r="M631">
        <f>ABS(Table1[[#This Row],[PartyAVotes]]-Table1[[#This Row],[PartyBVotes]])</f>
        <v>30</v>
      </c>
      <c r="N631" s="11">
        <f>Table1[[#This Row],[TotalVotesCast]]/Table1[[#This Row],[RegisteredVoters]]</f>
        <v>0.97328244274809161</v>
      </c>
      <c r="O631" t="str">
        <f>IF(Table1[[#This Row],[RegisteredVoters]]=Table1[[#This Row],[TotalVotesCast]],"Match","")</f>
        <v/>
      </c>
    </row>
    <row r="632" spans="1:15" ht="13.2">
      <c r="A632" s="1" t="s">
        <v>740</v>
      </c>
      <c r="B632" t="s">
        <v>10</v>
      </c>
      <c r="C632" t="s">
        <v>14</v>
      </c>
      <c r="D632" t="s">
        <v>652</v>
      </c>
      <c r="E632">
        <v>750</v>
      </c>
      <c r="F632">
        <v>365</v>
      </c>
      <c r="G632">
        <v>345</v>
      </c>
      <c r="H632">
        <v>15</v>
      </c>
      <c r="I632">
        <v>725</v>
      </c>
      <c r="J632" s="8">
        <f>Table1[[#This Row],[PartyAVotes]]/Table1[[#This Row],[RegisteredVoters]]</f>
        <v>0.48666666666666669</v>
      </c>
      <c r="K632" s="8">
        <f>Table1[[#This Row],[PartyBVotes]]/Table1[[#This Row],[RegisteredVoters]]</f>
        <v>0.46</v>
      </c>
      <c r="L632" s="8">
        <f>Table1[[#This Row],[PartyCVotes]]/Table1[[#This Row],[RegisteredVoters]]</f>
        <v>0.02</v>
      </c>
      <c r="M632">
        <f>ABS(Table1[[#This Row],[PartyAVotes]]-Table1[[#This Row],[PartyBVotes]])</f>
        <v>20</v>
      </c>
      <c r="N632" s="11">
        <f>Table1[[#This Row],[TotalVotesCast]]/Table1[[#This Row],[RegisteredVoters]]</f>
        <v>0.96666666666666667</v>
      </c>
      <c r="O632" t="str">
        <f>IF(Table1[[#This Row],[RegisteredVoters]]=Table1[[#This Row],[TotalVotesCast]],"Match","")</f>
        <v/>
      </c>
    </row>
    <row r="633" spans="1:15" ht="13.2">
      <c r="A633" s="1" t="s">
        <v>741</v>
      </c>
      <c r="B633" t="s">
        <v>15</v>
      </c>
      <c r="C633" t="s">
        <v>17</v>
      </c>
      <c r="D633" t="s">
        <v>634</v>
      </c>
      <c r="E633">
        <v>800</v>
      </c>
      <c r="F633">
        <v>395</v>
      </c>
      <c r="G633">
        <v>375</v>
      </c>
      <c r="H633">
        <v>15</v>
      </c>
      <c r="I633">
        <v>785</v>
      </c>
      <c r="J633" s="8">
        <f>Table1[[#This Row],[PartyAVotes]]/Table1[[#This Row],[RegisteredVoters]]</f>
        <v>0.49375000000000002</v>
      </c>
      <c r="K633" s="8">
        <f>Table1[[#This Row],[PartyBVotes]]/Table1[[#This Row],[RegisteredVoters]]</f>
        <v>0.46875</v>
      </c>
      <c r="L633" s="8">
        <f>Table1[[#This Row],[PartyCVotes]]/Table1[[#This Row],[RegisteredVoters]]</f>
        <v>1.8749999999999999E-2</v>
      </c>
      <c r="M633">
        <f>ABS(Table1[[#This Row],[PartyAVotes]]-Table1[[#This Row],[PartyBVotes]])</f>
        <v>20</v>
      </c>
      <c r="N633" s="11">
        <f>Table1[[#This Row],[TotalVotesCast]]/Table1[[#This Row],[RegisteredVoters]]</f>
        <v>0.98124999999999996</v>
      </c>
      <c r="O633" t="str">
        <f>IF(Table1[[#This Row],[RegisteredVoters]]=Table1[[#This Row],[TotalVotesCast]],"Match","")</f>
        <v/>
      </c>
    </row>
    <row r="634" spans="1:15" ht="13.2">
      <c r="A634" s="1" t="s">
        <v>742</v>
      </c>
      <c r="B634" t="s">
        <v>18</v>
      </c>
      <c r="C634" t="s">
        <v>19</v>
      </c>
      <c r="D634" t="s">
        <v>661</v>
      </c>
      <c r="E634">
        <v>1070</v>
      </c>
      <c r="F634">
        <v>530</v>
      </c>
      <c r="G634">
        <v>505</v>
      </c>
      <c r="H634">
        <v>20</v>
      </c>
      <c r="I634">
        <v>1055</v>
      </c>
      <c r="J634" s="8">
        <f>Table1[[#This Row],[PartyAVotes]]/Table1[[#This Row],[RegisteredVoters]]</f>
        <v>0.49532710280373832</v>
      </c>
      <c r="K634" s="8">
        <f>Table1[[#This Row],[PartyBVotes]]/Table1[[#This Row],[RegisteredVoters]]</f>
        <v>0.4719626168224299</v>
      </c>
      <c r="L634" s="8">
        <f>Table1[[#This Row],[PartyCVotes]]/Table1[[#This Row],[RegisteredVoters]]</f>
        <v>1.8691588785046728E-2</v>
      </c>
      <c r="M634">
        <f>ABS(Table1[[#This Row],[PartyAVotes]]-Table1[[#This Row],[PartyBVotes]])</f>
        <v>25</v>
      </c>
      <c r="N634" s="11">
        <f>Table1[[#This Row],[TotalVotesCast]]/Table1[[#This Row],[RegisteredVoters]]</f>
        <v>0.98598130841121501</v>
      </c>
      <c r="O634" t="str">
        <f>IF(Table1[[#This Row],[RegisteredVoters]]=Table1[[#This Row],[TotalVotesCast]],"Match","")</f>
        <v/>
      </c>
    </row>
    <row r="635" spans="1:15" ht="13.2">
      <c r="A635" s="1" t="s">
        <v>743</v>
      </c>
      <c r="B635" t="s">
        <v>21</v>
      </c>
      <c r="C635" t="s">
        <v>23</v>
      </c>
      <c r="D635" t="s">
        <v>643</v>
      </c>
      <c r="E635">
        <v>1130</v>
      </c>
      <c r="F635">
        <v>560</v>
      </c>
      <c r="G635">
        <v>535</v>
      </c>
      <c r="H635">
        <v>20</v>
      </c>
      <c r="I635">
        <v>1115</v>
      </c>
      <c r="J635" s="8">
        <f>Table1[[#This Row],[PartyAVotes]]/Table1[[#This Row],[RegisteredVoters]]</f>
        <v>0.49557522123893805</v>
      </c>
      <c r="K635" s="8">
        <f>Table1[[#This Row],[PartyBVotes]]/Table1[[#This Row],[RegisteredVoters]]</f>
        <v>0.47345132743362833</v>
      </c>
      <c r="L635" s="8">
        <f>Table1[[#This Row],[PartyCVotes]]/Table1[[#This Row],[RegisteredVoters]]</f>
        <v>1.7699115044247787E-2</v>
      </c>
      <c r="M635">
        <f>ABS(Table1[[#This Row],[PartyAVotes]]-Table1[[#This Row],[PartyBVotes]])</f>
        <v>25</v>
      </c>
      <c r="N635" s="11">
        <f>Table1[[#This Row],[TotalVotesCast]]/Table1[[#This Row],[RegisteredVoters]]</f>
        <v>0.98672566371681414</v>
      </c>
      <c r="O635" t="str">
        <f>IF(Table1[[#This Row],[RegisteredVoters]]=Table1[[#This Row],[TotalVotesCast]],"Match","")</f>
        <v/>
      </c>
    </row>
    <row r="636" spans="1:15" ht="13.2">
      <c r="A636" s="1" t="s">
        <v>744</v>
      </c>
      <c r="B636" t="s">
        <v>10</v>
      </c>
      <c r="C636" t="s">
        <v>11</v>
      </c>
      <c r="D636" t="s">
        <v>711</v>
      </c>
      <c r="E636">
        <v>670</v>
      </c>
      <c r="F636">
        <v>325</v>
      </c>
      <c r="G636">
        <v>305</v>
      </c>
      <c r="H636">
        <v>10</v>
      </c>
      <c r="I636">
        <v>640</v>
      </c>
      <c r="J636" s="8">
        <f>Table1[[#This Row],[PartyAVotes]]/Table1[[#This Row],[RegisteredVoters]]</f>
        <v>0.48507462686567165</v>
      </c>
      <c r="K636" s="8">
        <f>Table1[[#This Row],[PartyBVotes]]/Table1[[#This Row],[RegisteredVoters]]</f>
        <v>0.45522388059701491</v>
      </c>
      <c r="L636" s="8">
        <f>Table1[[#This Row],[PartyCVotes]]/Table1[[#This Row],[RegisteredVoters]]</f>
        <v>1.4925373134328358E-2</v>
      </c>
      <c r="M636">
        <f>ABS(Table1[[#This Row],[PartyAVotes]]-Table1[[#This Row],[PartyBVotes]])</f>
        <v>20</v>
      </c>
      <c r="N636" s="11">
        <f>Table1[[#This Row],[TotalVotesCast]]/Table1[[#This Row],[RegisteredVoters]]</f>
        <v>0.95522388059701491</v>
      </c>
      <c r="O636" t="str">
        <f>IF(Table1[[#This Row],[RegisteredVoters]]=Table1[[#This Row],[TotalVotesCast]],"Match","")</f>
        <v/>
      </c>
    </row>
    <row r="637" spans="1:15" ht="13.2">
      <c r="A637" s="1" t="s">
        <v>745</v>
      </c>
      <c r="B637" t="s">
        <v>15</v>
      </c>
      <c r="C637" t="s">
        <v>16</v>
      </c>
      <c r="D637" t="s">
        <v>711</v>
      </c>
      <c r="E637">
        <v>970</v>
      </c>
      <c r="F637">
        <v>475</v>
      </c>
      <c r="G637">
        <v>455</v>
      </c>
      <c r="H637">
        <v>15</v>
      </c>
      <c r="I637">
        <v>945</v>
      </c>
      <c r="J637" s="8">
        <f>Table1[[#This Row],[PartyAVotes]]/Table1[[#This Row],[RegisteredVoters]]</f>
        <v>0.48969072164948452</v>
      </c>
      <c r="K637" s="8">
        <f>Table1[[#This Row],[PartyBVotes]]/Table1[[#This Row],[RegisteredVoters]]</f>
        <v>0.46907216494845361</v>
      </c>
      <c r="L637" s="8">
        <f>Table1[[#This Row],[PartyCVotes]]/Table1[[#This Row],[RegisteredVoters]]</f>
        <v>1.5463917525773196E-2</v>
      </c>
      <c r="M637">
        <f>ABS(Table1[[#This Row],[PartyAVotes]]-Table1[[#This Row],[PartyBVotes]])</f>
        <v>20</v>
      </c>
      <c r="N637" s="11">
        <f>Table1[[#This Row],[TotalVotesCast]]/Table1[[#This Row],[RegisteredVoters]]</f>
        <v>0.97422680412371132</v>
      </c>
      <c r="O637" t="str">
        <f>IF(Table1[[#This Row],[RegisteredVoters]]=Table1[[#This Row],[TotalVotesCast]],"Match","")</f>
        <v/>
      </c>
    </row>
    <row r="638" spans="1:15" ht="13.2">
      <c r="A638" s="1" t="s">
        <v>746</v>
      </c>
      <c r="B638" t="s">
        <v>18</v>
      </c>
      <c r="C638" t="s">
        <v>20</v>
      </c>
      <c r="D638" t="s">
        <v>747</v>
      </c>
      <c r="E638">
        <v>1060</v>
      </c>
      <c r="F638">
        <v>525</v>
      </c>
      <c r="G638">
        <v>505</v>
      </c>
      <c r="H638">
        <v>15</v>
      </c>
      <c r="I638">
        <v>1045</v>
      </c>
      <c r="J638" s="8">
        <f>Table1[[#This Row],[PartyAVotes]]/Table1[[#This Row],[RegisteredVoters]]</f>
        <v>0.49528301886792453</v>
      </c>
      <c r="K638" s="8">
        <f>Table1[[#This Row],[PartyBVotes]]/Table1[[#This Row],[RegisteredVoters]]</f>
        <v>0.47641509433962265</v>
      </c>
      <c r="L638" s="8">
        <f>Table1[[#This Row],[PartyCVotes]]/Table1[[#This Row],[RegisteredVoters]]</f>
        <v>1.4150943396226415E-2</v>
      </c>
      <c r="M638">
        <f>ABS(Table1[[#This Row],[PartyAVotes]]-Table1[[#This Row],[PartyBVotes]])</f>
        <v>20</v>
      </c>
      <c r="N638" s="11">
        <f>Table1[[#This Row],[TotalVotesCast]]/Table1[[#This Row],[RegisteredVoters]]</f>
        <v>0.98584905660377353</v>
      </c>
      <c r="O638" t="str">
        <f>IF(Table1[[#This Row],[RegisteredVoters]]=Table1[[#This Row],[TotalVotesCast]],"Match","")</f>
        <v/>
      </c>
    </row>
    <row r="639" spans="1:15" ht="13.2">
      <c r="A639" s="1" t="s">
        <v>748</v>
      </c>
      <c r="B639" t="s">
        <v>21</v>
      </c>
      <c r="C639" t="s">
        <v>22</v>
      </c>
      <c r="D639" t="s">
        <v>706</v>
      </c>
      <c r="E639">
        <v>1320</v>
      </c>
      <c r="F639">
        <v>645</v>
      </c>
      <c r="G639">
        <v>615</v>
      </c>
      <c r="H639">
        <v>25</v>
      </c>
      <c r="I639">
        <v>1285</v>
      </c>
      <c r="J639" s="8">
        <f>Table1[[#This Row],[PartyAVotes]]/Table1[[#This Row],[RegisteredVoters]]</f>
        <v>0.48863636363636365</v>
      </c>
      <c r="K639" s="8">
        <f>Table1[[#This Row],[PartyBVotes]]/Table1[[#This Row],[RegisteredVoters]]</f>
        <v>0.46590909090909088</v>
      </c>
      <c r="L639" s="8">
        <f>Table1[[#This Row],[PartyCVotes]]/Table1[[#This Row],[RegisteredVoters]]</f>
        <v>1.893939393939394E-2</v>
      </c>
      <c r="M639">
        <f>ABS(Table1[[#This Row],[PartyAVotes]]-Table1[[#This Row],[PartyBVotes]])</f>
        <v>30</v>
      </c>
      <c r="N639" s="11">
        <f>Table1[[#This Row],[TotalVotesCast]]/Table1[[#This Row],[RegisteredVoters]]</f>
        <v>0.97348484848484851</v>
      </c>
      <c r="O639" t="str">
        <f>IF(Table1[[#This Row],[RegisteredVoters]]=Table1[[#This Row],[TotalVotesCast]],"Match","")</f>
        <v/>
      </c>
    </row>
    <row r="640" spans="1:15" ht="13.2">
      <c r="A640" s="1" t="s">
        <v>749</v>
      </c>
      <c r="B640" t="s">
        <v>10</v>
      </c>
      <c r="C640" t="s">
        <v>14</v>
      </c>
      <c r="D640" t="s">
        <v>661</v>
      </c>
      <c r="E640">
        <v>760</v>
      </c>
      <c r="F640">
        <v>370</v>
      </c>
      <c r="G640">
        <v>350</v>
      </c>
      <c r="H640">
        <v>15</v>
      </c>
      <c r="I640">
        <v>735</v>
      </c>
      <c r="J640" s="8">
        <f>Table1[[#This Row],[PartyAVotes]]/Table1[[#This Row],[RegisteredVoters]]</f>
        <v>0.48684210526315791</v>
      </c>
      <c r="K640" s="8">
        <f>Table1[[#This Row],[PartyBVotes]]/Table1[[#This Row],[RegisteredVoters]]</f>
        <v>0.46052631578947367</v>
      </c>
      <c r="L640" s="8">
        <f>Table1[[#This Row],[PartyCVotes]]/Table1[[#This Row],[RegisteredVoters]]</f>
        <v>1.9736842105263157E-2</v>
      </c>
      <c r="M640">
        <f>ABS(Table1[[#This Row],[PartyAVotes]]-Table1[[#This Row],[PartyBVotes]])</f>
        <v>20</v>
      </c>
      <c r="N640" s="11">
        <f>Table1[[#This Row],[TotalVotesCast]]/Table1[[#This Row],[RegisteredVoters]]</f>
        <v>0.96710526315789469</v>
      </c>
      <c r="O640" t="str">
        <f>IF(Table1[[#This Row],[RegisteredVoters]]=Table1[[#This Row],[TotalVotesCast]],"Match","")</f>
        <v/>
      </c>
    </row>
    <row r="641" spans="1:15" ht="13.2">
      <c r="A641" s="1" t="s">
        <v>750</v>
      </c>
      <c r="B641" t="s">
        <v>15</v>
      </c>
      <c r="C641" t="s">
        <v>17</v>
      </c>
      <c r="D641" t="s">
        <v>643</v>
      </c>
      <c r="E641">
        <v>810</v>
      </c>
      <c r="F641">
        <v>400</v>
      </c>
      <c r="G641">
        <v>380</v>
      </c>
      <c r="H641">
        <v>15</v>
      </c>
      <c r="I641">
        <v>795</v>
      </c>
      <c r="J641" s="8">
        <f>Table1[[#This Row],[PartyAVotes]]/Table1[[#This Row],[RegisteredVoters]]</f>
        <v>0.49382716049382713</v>
      </c>
      <c r="K641" s="8">
        <f>Table1[[#This Row],[PartyBVotes]]/Table1[[#This Row],[RegisteredVoters]]</f>
        <v>0.46913580246913578</v>
      </c>
      <c r="L641" s="8">
        <f>Table1[[#This Row],[PartyCVotes]]/Table1[[#This Row],[RegisteredVoters]]</f>
        <v>1.8518518518518517E-2</v>
      </c>
      <c r="M641">
        <f>ABS(Table1[[#This Row],[PartyAVotes]]-Table1[[#This Row],[PartyBVotes]])</f>
        <v>20</v>
      </c>
      <c r="N641" s="11">
        <f>Table1[[#This Row],[TotalVotesCast]]/Table1[[#This Row],[RegisteredVoters]]</f>
        <v>0.98148148148148151</v>
      </c>
      <c r="O641" t="str">
        <f>IF(Table1[[#This Row],[RegisteredVoters]]=Table1[[#This Row],[TotalVotesCast]],"Match","")</f>
        <v/>
      </c>
    </row>
    <row r="642" spans="1:15" ht="13.2">
      <c r="A642" s="1" t="s">
        <v>751</v>
      </c>
      <c r="B642" t="s">
        <v>18</v>
      </c>
      <c r="C642" t="s">
        <v>19</v>
      </c>
      <c r="D642" t="s">
        <v>670</v>
      </c>
      <c r="E642">
        <v>1080</v>
      </c>
      <c r="F642">
        <v>535</v>
      </c>
      <c r="G642">
        <v>510</v>
      </c>
      <c r="H642">
        <v>20</v>
      </c>
      <c r="I642">
        <v>1065</v>
      </c>
      <c r="J642" s="8">
        <f>Table1[[#This Row],[PartyAVotes]]/Table1[[#This Row],[RegisteredVoters]]</f>
        <v>0.49537037037037035</v>
      </c>
      <c r="K642" s="8">
        <f>Table1[[#This Row],[PartyBVotes]]/Table1[[#This Row],[RegisteredVoters]]</f>
        <v>0.47222222222222221</v>
      </c>
      <c r="L642" s="8">
        <f>Table1[[#This Row],[PartyCVotes]]/Table1[[#This Row],[RegisteredVoters]]</f>
        <v>1.8518518518518517E-2</v>
      </c>
      <c r="M642">
        <f>ABS(Table1[[#This Row],[PartyAVotes]]-Table1[[#This Row],[PartyBVotes]])</f>
        <v>25</v>
      </c>
      <c r="N642" s="11">
        <f>Table1[[#This Row],[TotalVotesCast]]/Table1[[#This Row],[RegisteredVoters]]</f>
        <v>0.98611111111111116</v>
      </c>
      <c r="O642" t="str">
        <f>IF(Table1[[#This Row],[RegisteredVoters]]=Table1[[#This Row],[TotalVotesCast]],"Match","")</f>
        <v/>
      </c>
    </row>
    <row r="643" spans="1:15" ht="13.2">
      <c r="A643" s="1" t="s">
        <v>752</v>
      </c>
      <c r="B643" t="s">
        <v>21</v>
      </c>
      <c r="C643" t="s">
        <v>23</v>
      </c>
      <c r="D643" t="s">
        <v>652</v>
      </c>
      <c r="E643">
        <v>1140</v>
      </c>
      <c r="F643">
        <v>565</v>
      </c>
      <c r="G643">
        <v>540</v>
      </c>
      <c r="H643">
        <v>20</v>
      </c>
      <c r="I643">
        <v>1125</v>
      </c>
      <c r="J643" s="8">
        <f>Table1[[#This Row],[PartyAVotes]]/Table1[[#This Row],[RegisteredVoters]]</f>
        <v>0.49561403508771928</v>
      </c>
      <c r="K643" s="8">
        <f>Table1[[#This Row],[PartyBVotes]]/Table1[[#This Row],[RegisteredVoters]]</f>
        <v>0.47368421052631576</v>
      </c>
      <c r="L643" s="8">
        <f>Table1[[#This Row],[PartyCVotes]]/Table1[[#This Row],[RegisteredVoters]]</f>
        <v>1.7543859649122806E-2</v>
      </c>
      <c r="M643">
        <f>ABS(Table1[[#This Row],[PartyAVotes]]-Table1[[#This Row],[PartyBVotes]])</f>
        <v>25</v>
      </c>
      <c r="N643" s="11">
        <f>Table1[[#This Row],[TotalVotesCast]]/Table1[[#This Row],[RegisteredVoters]]</f>
        <v>0.98684210526315785</v>
      </c>
      <c r="O643" t="str">
        <f>IF(Table1[[#This Row],[RegisteredVoters]]=Table1[[#This Row],[TotalVotesCast]],"Match","")</f>
        <v/>
      </c>
    </row>
    <row r="644" spans="1:15" ht="13.2">
      <c r="A644" s="1" t="s">
        <v>753</v>
      </c>
      <c r="B644" t="s">
        <v>10</v>
      </c>
      <c r="C644" t="s">
        <v>11</v>
      </c>
      <c r="D644" t="s">
        <v>720</v>
      </c>
      <c r="E644">
        <v>680</v>
      </c>
      <c r="F644">
        <v>330</v>
      </c>
      <c r="G644">
        <v>310</v>
      </c>
      <c r="H644">
        <v>10</v>
      </c>
      <c r="I644">
        <v>650</v>
      </c>
      <c r="J644" s="8">
        <f>Table1[[#This Row],[PartyAVotes]]/Table1[[#This Row],[RegisteredVoters]]</f>
        <v>0.48529411764705882</v>
      </c>
      <c r="K644" s="8">
        <f>Table1[[#This Row],[PartyBVotes]]/Table1[[#This Row],[RegisteredVoters]]</f>
        <v>0.45588235294117646</v>
      </c>
      <c r="L644" s="8">
        <f>Table1[[#This Row],[PartyCVotes]]/Table1[[#This Row],[RegisteredVoters]]</f>
        <v>1.4705882352941176E-2</v>
      </c>
      <c r="M644">
        <f>ABS(Table1[[#This Row],[PartyAVotes]]-Table1[[#This Row],[PartyBVotes]])</f>
        <v>20</v>
      </c>
      <c r="N644" s="11">
        <f>Table1[[#This Row],[TotalVotesCast]]/Table1[[#This Row],[RegisteredVoters]]</f>
        <v>0.95588235294117652</v>
      </c>
      <c r="O644" t="str">
        <f>IF(Table1[[#This Row],[RegisteredVoters]]=Table1[[#This Row],[TotalVotesCast]],"Match","")</f>
        <v/>
      </c>
    </row>
    <row r="645" spans="1:15" ht="13.2">
      <c r="A645" s="1" t="s">
        <v>754</v>
      </c>
      <c r="B645" t="s">
        <v>15</v>
      </c>
      <c r="C645" t="s">
        <v>16</v>
      </c>
      <c r="D645" t="s">
        <v>720</v>
      </c>
      <c r="E645">
        <v>980</v>
      </c>
      <c r="F645">
        <v>480</v>
      </c>
      <c r="G645">
        <v>460</v>
      </c>
      <c r="H645">
        <v>15</v>
      </c>
      <c r="I645">
        <v>955</v>
      </c>
      <c r="J645" s="8">
        <f>Table1[[#This Row],[PartyAVotes]]/Table1[[#This Row],[RegisteredVoters]]</f>
        <v>0.48979591836734693</v>
      </c>
      <c r="K645" s="8">
        <f>Table1[[#This Row],[PartyBVotes]]/Table1[[#This Row],[RegisteredVoters]]</f>
        <v>0.46938775510204084</v>
      </c>
      <c r="L645" s="8">
        <f>Table1[[#This Row],[PartyCVotes]]/Table1[[#This Row],[RegisteredVoters]]</f>
        <v>1.5306122448979591E-2</v>
      </c>
      <c r="M645">
        <f>ABS(Table1[[#This Row],[PartyAVotes]]-Table1[[#This Row],[PartyBVotes]])</f>
        <v>20</v>
      </c>
      <c r="N645" s="11">
        <f>Table1[[#This Row],[TotalVotesCast]]/Table1[[#This Row],[RegisteredVoters]]</f>
        <v>0.97448979591836737</v>
      </c>
      <c r="O645" t="str">
        <f>IF(Table1[[#This Row],[RegisteredVoters]]=Table1[[#This Row],[TotalVotesCast]],"Match","")</f>
        <v/>
      </c>
    </row>
    <row r="646" spans="1:15" ht="13.2">
      <c r="A646" s="1" t="s">
        <v>755</v>
      </c>
      <c r="B646" t="s">
        <v>18</v>
      </c>
      <c r="C646" t="s">
        <v>20</v>
      </c>
      <c r="D646" t="s">
        <v>756</v>
      </c>
      <c r="E646">
        <v>1070</v>
      </c>
      <c r="F646">
        <v>530</v>
      </c>
      <c r="G646">
        <v>510</v>
      </c>
      <c r="H646">
        <v>15</v>
      </c>
      <c r="I646">
        <v>1055</v>
      </c>
      <c r="J646" s="8">
        <f>Table1[[#This Row],[PartyAVotes]]/Table1[[#This Row],[RegisteredVoters]]</f>
        <v>0.49532710280373832</v>
      </c>
      <c r="K646" s="8">
        <f>Table1[[#This Row],[PartyBVotes]]/Table1[[#This Row],[RegisteredVoters]]</f>
        <v>0.47663551401869159</v>
      </c>
      <c r="L646" s="8">
        <f>Table1[[#This Row],[PartyCVotes]]/Table1[[#This Row],[RegisteredVoters]]</f>
        <v>1.4018691588785047E-2</v>
      </c>
      <c r="M646">
        <f>ABS(Table1[[#This Row],[PartyAVotes]]-Table1[[#This Row],[PartyBVotes]])</f>
        <v>20</v>
      </c>
      <c r="N646" s="11">
        <f>Table1[[#This Row],[TotalVotesCast]]/Table1[[#This Row],[RegisteredVoters]]</f>
        <v>0.98598130841121501</v>
      </c>
      <c r="O646" t="str">
        <f>IF(Table1[[#This Row],[RegisteredVoters]]=Table1[[#This Row],[TotalVotesCast]],"Match","")</f>
        <v/>
      </c>
    </row>
    <row r="647" spans="1:15" ht="13.2">
      <c r="A647" s="1" t="s">
        <v>757</v>
      </c>
      <c r="B647" t="s">
        <v>21</v>
      </c>
      <c r="C647" t="s">
        <v>22</v>
      </c>
      <c r="D647" t="s">
        <v>711</v>
      </c>
      <c r="E647">
        <v>1330</v>
      </c>
      <c r="F647">
        <v>650</v>
      </c>
      <c r="G647">
        <v>620</v>
      </c>
      <c r="H647">
        <v>25</v>
      </c>
      <c r="I647">
        <v>1295</v>
      </c>
      <c r="J647" s="8">
        <f>Table1[[#This Row],[PartyAVotes]]/Table1[[#This Row],[RegisteredVoters]]</f>
        <v>0.48872180451127817</v>
      </c>
      <c r="K647" s="8">
        <f>Table1[[#This Row],[PartyBVotes]]/Table1[[#This Row],[RegisteredVoters]]</f>
        <v>0.46616541353383456</v>
      </c>
      <c r="L647" s="8">
        <f>Table1[[#This Row],[PartyCVotes]]/Table1[[#This Row],[RegisteredVoters]]</f>
        <v>1.8796992481203006E-2</v>
      </c>
      <c r="M647">
        <f>ABS(Table1[[#This Row],[PartyAVotes]]-Table1[[#This Row],[PartyBVotes]])</f>
        <v>30</v>
      </c>
      <c r="N647" s="11">
        <f>Table1[[#This Row],[TotalVotesCast]]/Table1[[#This Row],[RegisteredVoters]]</f>
        <v>0.97368421052631582</v>
      </c>
      <c r="O647" t="str">
        <f>IF(Table1[[#This Row],[RegisteredVoters]]=Table1[[#This Row],[TotalVotesCast]],"Match","")</f>
        <v/>
      </c>
    </row>
    <row r="648" spans="1:15" ht="13.2">
      <c r="A648" s="1" t="s">
        <v>758</v>
      </c>
      <c r="B648" t="s">
        <v>10</v>
      </c>
      <c r="C648" t="s">
        <v>14</v>
      </c>
      <c r="D648" t="s">
        <v>670</v>
      </c>
      <c r="E648">
        <v>770</v>
      </c>
      <c r="F648">
        <v>375</v>
      </c>
      <c r="G648">
        <v>355</v>
      </c>
      <c r="H648">
        <v>15</v>
      </c>
      <c r="I648">
        <v>745</v>
      </c>
      <c r="J648" s="8">
        <f>Table1[[#This Row],[PartyAVotes]]/Table1[[#This Row],[RegisteredVoters]]</f>
        <v>0.48701298701298701</v>
      </c>
      <c r="K648" s="8">
        <f>Table1[[#This Row],[PartyBVotes]]/Table1[[#This Row],[RegisteredVoters]]</f>
        <v>0.46103896103896103</v>
      </c>
      <c r="L648" s="8">
        <f>Table1[[#This Row],[PartyCVotes]]/Table1[[#This Row],[RegisteredVoters]]</f>
        <v>1.948051948051948E-2</v>
      </c>
      <c r="M648">
        <f>ABS(Table1[[#This Row],[PartyAVotes]]-Table1[[#This Row],[PartyBVotes]])</f>
        <v>20</v>
      </c>
      <c r="N648" s="11">
        <f>Table1[[#This Row],[TotalVotesCast]]/Table1[[#This Row],[RegisteredVoters]]</f>
        <v>0.96753246753246758</v>
      </c>
      <c r="O648" t="str">
        <f>IF(Table1[[#This Row],[RegisteredVoters]]=Table1[[#This Row],[TotalVotesCast]],"Match","")</f>
        <v/>
      </c>
    </row>
    <row r="649" spans="1:15" ht="13.2">
      <c r="A649" s="1" t="s">
        <v>759</v>
      </c>
      <c r="B649" t="s">
        <v>15</v>
      </c>
      <c r="C649" t="s">
        <v>17</v>
      </c>
      <c r="D649" t="s">
        <v>652</v>
      </c>
      <c r="E649">
        <v>820</v>
      </c>
      <c r="F649">
        <v>405</v>
      </c>
      <c r="G649">
        <v>385</v>
      </c>
      <c r="H649">
        <v>15</v>
      </c>
      <c r="I649">
        <v>805</v>
      </c>
      <c r="J649" s="8">
        <f>Table1[[#This Row],[PartyAVotes]]/Table1[[#This Row],[RegisteredVoters]]</f>
        <v>0.49390243902439024</v>
      </c>
      <c r="K649" s="8">
        <f>Table1[[#This Row],[PartyBVotes]]/Table1[[#This Row],[RegisteredVoters]]</f>
        <v>0.46951219512195119</v>
      </c>
      <c r="L649" s="8">
        <f>Table1[[#This Row],[PartyCVotes]]/Table1[[#This Row],[RegisteredVoters]]</f>
        <v>1.8292682926829267E-2</v>
      </c>
      <c r="M649">
        <f>ABS(Table1[[#This Row],[PartyAVotes]]-Table1[[#This Row],[PartyBVotes]])</f>
        <v>20</v>
      </c>
      <c r="N649" s="11">
        <f>Table1[[#This Row],[TotalVotesCast]]/Table1[[#This Row],[RegisteredVoters]]</f>
        <v>0.98170731707317072</v>
      </c>
      <c r="O649" t="str">
        <f>IF(Table1[[#This Row],[RegisteredVoters]]=Table1[[#This Row],[TotalVotesCast]],"Match","")</f>
        <v/>
      </c>
    </row>
    <row r="650" spans="1:15" ht="13.2">
      <c r="A650" s="1" t="s">
        <v>760</v>
      </c>
      <c r="B650" t="s">
        <v>18</v>
      </c>
      <c r="C650" t="s">
        <v>19</v>
      </c>
      <c r="D650" t="s">
        <v>679</v>
      </c>
      <c r="E650">
        <v>1090</v>
      </c>
      <c r="F650">
        <v>540</v>
      </c>
      <c r="G650">
        <v>515</v>
      </c>
      <c r="H650">
        <v>20</v>
      </c>
      <c r="I650">
        <v>1075</v>
      </c>
      <c r="J650" s="8">
        <f>Table1[[#This Row],[PartyAVotes]]/Table1[[#This Row],[RegisteredVoters]]</f>
        <v>0.49541284403669728</v>
      </c>
      <c r="K650" s="8">
        <f>Table1[[#This Row],[PartyBVotes]]/Table1[[#This Row],[RegisteredVoters]]</f>
        <v>0.47247706422018348</v>
      </c>
      <c r="L650" s="8">
        <f>Table1[[#This Row],[PartyCVotes]]/Table1[[#This Row],[RegisteredVoters]]</f>
        <v>1.834862385321101E-2</v>
      </c>
      <c r="M650">
        <f>ABS(Table1[[#This Row],[PartyAVotes]]-Table1[[#This Row],[PartyBVotes]])</f>
        <v>25</v>
      </c>
      <c r="N650" s="11">
        <f>Table1[[#This Row],[TotalVotesCast]]/Table1[[#This Row],[RegisteredVoters]]</f>
        <v>0.98623853211009171</v>
      </c>
      <c r="O650" t="str">
        <f>IF(Table1[[#This Row],[RegisteredVoters]]=Table1[[#This Row],[TotalVotesCast]],"Match","")</f>
        <v/>
      </c>
    </row>
    <row r="651" spans="1:15" ht="13.2">
      <c r="A651" s="1" t="s">
        <v>761</v>
      </c>
      <c r="B651" t="s">
        <v>21</v>
      </c>
      <c r="C651" t="s">
        <v>23</v>
      </c>
      <c r="D651" t="s">
        <v>661</v>
      </c>
      <c r="E651">
        <v>1150</v>
      </c>
      <c r="F651">
        <v>570</v>
      </c>
      <c r="G651">
        <v>545</v>
      </c>
      <c r="H651">
        <v>20</v>
      </c>
      <c r="I651">
        <v>1135</v>
      </c>
      <c r="J651" s="8">
        <f>Table1[[#This Row],[PartyAVotes]]/Table1[[#This Row],[RegisteredVoters]]</f>
        <v>0.4956521739130435</v>
      </c>
      <c r="K651" s="8">
        <f>Table1[[#This Row],[PartyBVotes]]/Table1[[#This Row],[RegisteredVoters]]</f>
        <v>0.47391304347826085</v>
      </c>
      <c r="L651" s="8">
        <f>Table1[[#This Row],[PartyCVotes]]/Table1[[#This Row],[RegisteredVoters]]</f>
        <v>1.7391304347826087E-2</v>
      </c>
      <c r="M651">
        <f>ABS(Table1[[#This Row],[PartyAVotes]]-Table1[[#This Row],[PartyBVotes]])</f>
        <v>25</v>
      </c>
      <c r="N651" s="11">
        <f>Table1[[#This Row],[TotalVotesCast]]/Table1[[#This Row],[RegisteredVoters]]</f>
        <v>0.9869565217391304</v>
      </c>
      <c r="O651" t="str">
        <f>IF(Table1[[#This Row],[RegisteredVoters]]=Table1[[#This Row],[TotalVotesCast]],"Match","")</f>
        <v/>
      </c>
    </row>
    <row r="652" spans="1:15" ht="13.2">
      <c r="A652" s="1" t="s">
        <v>762</v>
      </c>
      <c r="B652" t="s">
        <v>10</v>
      </c>
      <c r="C652" t="s">
        <v>11</v>
      </c>
      <c r="D652" t="s">
        <v>729</v>
      </c>
      <c r="E652">
        <v>690</v>
      </c>
      <c r="F652">
        <v>335</v>
      </c>
      <c r="G652">
        <v>315</v>
      </c>
      <c r="H652">
        <v>10</v>
      </c>
      <c r="I652">
        <v>660</v>
      </c>
      <c r="J652" s="8">
        <f>Table1[[#This Row],[PartyAVotes]]/Table1[[#This Row],[RegisteredVoters]]</f>
        <v>0.48550724637681159</v>
      </c>
      <c r="K652" s="8">
        <f>Table1[[#This Row],[PartyBVotes]]/Table1[[#This Row],[RegisteredVoters]]</f>
        <v>0.45652173913043476</v>
      </c>
      <c r="L652" s="8">
        <f>Table1[[#This Row],[PartyCVotes]]/Table1[[#This Row],[RegisteredVoters]]</f>
        <v>1.4492753623188406E-2</v>
      </c>
      <c r="M652">
        <f>ABS(Table1[[#This Row],[PartyAVotes]]-Table1[[#This Row],[PartyBVotes]])</f>
        <v>20</v>
      </c>
      <c r="N652" s="11">
        <f>Table1[[#This Row],[TotalVotesCast]]/Table1[[#This Row],[RegisteredVoters]]</f>
        <v>0.95652173913043481</v>
      </c>
      <c r="O652" t="str">
        <f>IF(Table1[[#This Row],[RegisteredVoters]]=Table1[[#This Row],[TotalVotesCast]],"Match","")</f>
        <v/>
      </c>
    </row>
    <row r="653" spans="1:15" ht="13.2">
      <c r="A653" s="1" t="s">
        <v>763</v>
      </c>
      <c r="B653" t="s">
        <v>15</v>
      </c>
      <c r="C653" t="s">
        <v>16</v>
      </c>
      <c r="D653" t="s">
        <v>729</v>
      </c>
      <c r="E653">
        <v>990</v>
      </c>
      <c r="F653">
        <v>485</v>
      </c>
      <c r="G653">
        <v>465</v>
      </c>
      <c r="H653">
        <v>15</v>
      </c>
      <c r="I653">
        <v>965</v>
      </c>
      <c r="J653" s="8">
        <f>Table1[[#This Row],[PartyAVotes]]/Table1[[#This Row],[RegisteredVoters]]</f>
        <v>0.48989898989898989</v>
      </c>
      <c r="K653" s="8">
        <f>Table1[[#This Row],[PartyBVotes]]/Table1[[#This Row],[RegisteredVoters]]</f>
        <v>0.46969696969696972</v>
      </c>
      <c r="L653" s="8">
        <f>Table1[[#This Row],[PartyCVotes]]/Table1[[#This Row],[RegisteredVoters]]</f>
        <v>1.5151515151515152E-2</v>
      </c>
      <c r="M653">
        <f>ABS(Table1[[#This Row],[PartyAVotes]]-Table1[[#This Row],[PartyBVotes]])</f>
        <v>20</v>
      </c>
      <c r="N653" s="11">
        <f>Table1[[#This Row],[TotalVotesCast]]/Table1[[#This Row],[RegisteredVoters]]</f>
        <v>0.9747474747474747</v>
      </c>
      <c r="O653" t="str">
        <f>IF(Table1[[#This Row],[RegisteredVoters]]=Table1[[#This Row],[TotalVotesCast]],"Match","")</f>
        <v/>
      </c>
    </row>
    <row r="654" spans="1:15" ht="13.2">
      <c r="A654" s="1" t="s">
        <v>764</v>
      </c>
      <c r="B654" t="s">
        <v>18</v>
      </c>
      <c r="C654" t="s">
        <v>20</v>
      </c>
      <c r="D654" t="s">
        <v>765</v>
      </c>
      <c r="E654">
        <v>1080</v>
      </c>
      <c r="F654">
        <v>535</v>
      </c>
      <c r="G654">
        <v>515</v>
      </c>
      <c r="H654">
        <v>15</v>
      </c>
      <c r="I654">
        <v>1065</v>
      </c>
      <c r="J654" s="8">
        <f>Table1[[#This Row],[PartyAVotes]]/Table1[[#This Row],[RegisteredVoters]]</f>
        <v>0.49537037037037035</v>
      </c>
      <c r="K654" s="8">
        <f>Table1[[#This Row],[PartyBVotes]]/Table1[[#This Row],[RegisteredVoters]]</f>
        <v>0.47685185185185186</v>
      </c>
      <c r="L654" s="8">
        <f>Table1[[#This Row],[PartyCVotes]]/Table1[[#This Row],[RegisteredVoters]]</f>
        <v>1.3888888888888888E-2</v>
      </c>
      <c r="M654">
        <f>ABS(Table1[[#This Row],[PartyAVotes]]-Table1[[#This Row],[PartyBVotes]])</f>
        <v>20</v>
      </c>
      <c r="N654" s="11">
        <f>Table1[[#This Row],[TotalVotesCast]]/Table1[[#This Row],[RegisteredVoters]]</f>
        <v>0.98611111111111116</v>
      </c>
      <c r="O654" t="str">
        <f>IF(Table1[[#This Row],[RegisteredVoters]]=Table1[[#This Row],[TotalVotesCast]],"Match","")</f>
        <v/>
      </c>
    </row>
    <row r="655" spans="1:15" ht="13.2">
      <c r="A655" s="1" t="s">
        <v>766</v>
      </c>
      <c r="B655" t="s">
        <v>21</v>
      </c>
      <c r="C655" t="s">
        <v>22</v>
      </c>
      <c r="D655" t="s">
        <v>720</v>
      </c>
      <c r="E655">
        <v>1340</v>
      </c>
      <c r="F655">
        <v>655</v>
      </c>
      <c r="G655">
        <v>625</v>
      </c>
      <c r="H655">
        <v>25</v>
      </c>
      <c r="I655">
        <v>1305</v>
      </c>
      <c r="J655" s="8">
        <f>Table1[[#This Row],[PartyAVotes]]/Table1[[#This Row],[RegisteredVoters]]</f>
        <v>0.48880597014925375</v>
      </c>
      <c r="K655" s="8">
        <f>Table1[[#This Row],[PartyBVotes]]/Table1[[#This Row],[RegisteredVoters]]</f>
        <v>0.46641791044776121</v>
      </c>
      <c r="L655" s="8">
        <f>Table1[[#This Row],[PartyCVotes]]/Table1[[#This Row],[RegisteredVoters]]</f>
        <v>1.8656716417910446E-2</v>
      </c>
      <c r="M655">
        <f>ABS(Table1[[#This Row],[PartyAVotes]]-Table1[[#This Row],[PartyBVotes]])</f>
        <v>30</v>
      </c>
      <c r="N655" s="11">
        <f>Table1[[#This Row],[TotalVotesCast]]/Table1[[#This Row],[RegisteredVoters]]</f>
        <v>0.97388059701492535</v>
      </c>
      <c r="O655" t="str">
        <f>IF(Table1[[#This Row],[RegisteredVoters]]=Table1[[#This Row],[TotalVotesCast]],"Match","")</f>
        <v/>
      </c>
    </row>
    <row r="656" spans="1:15" ht="13.2">
      <c r="A656" s="1" t="s">
        <v>767</v>
      </c>
      <c r="B656" t="s">
        <v>10</v>
      </c>
      <c r="C656" t="s">
        <v>14</v>
      </c>
      <c r="D656" t="s">
        <v>679</v>
      </c>
      <c r="E656">
        <v>780</v>
      </c>
      <c r="F656">
        <v>380</v>
      </c>
      <c r="G656">
        <v>360</v>
      </c>
      <c r="H656">
        <v>15</v>
      </c>
      <c r="I656">
        <v>755</v>
      </c>
      <c r="J656" s="8">
        <f>Table1[[#This Row],[PartyAVotes]]/Table1[[#This Row],[RegisteredVoters]]</f>
        <v>0.48717948717948717</v>
      </c>
      <c r="K656" s="8">
        <f>Table1[[#This Row],[PartyBVotes]]/Table1[[#This Row],[RegisteredVoters]]</f>
        <v>0.46153846153846156</v>
      </c>
      <c r="L656" s="8">
        <f>Table1[[#This Row],[PartyCVotes]]/Table1[[#This Row],[RegisteredVoters]]</f>
        <v>1.9230769230769232E-2</v>
      </c>
      <c r="M656">
        <f>ABS(Table1[[#This Row],[PartyAVotes]]-Table1[[#This Row],[PartyBVotes]])</f>
        <v>20</v>
      </c>
      <c r="N656" s="11">
        <f>Table1[[#This Row],[TotalVotesCast]]/Table1[[#This Row],[RegisteredVoters]]</f>
        <v>0.96794871794871795</v>
      </c>
      <c r="O656" t="str">
        <f>IF(Table1[[#This Row],[RegisteredVoters]]=Table1[[#This Row],[TotalVotesCast]],"Match","")</f>
        <v/>
      </c>
    </row>
    <row r="657" spans="1:15" ht="13.2">
      <c r="A657" s="1" t="s">
        <v>768</v>
      </c>
      <c r="B657" t="s">
        <v>15</v>
      </c>
      <c r="C657" t="s">
        <v>17</v>
      </c>
      <c r="D657" t="s">
        <v>661</v>
      </c>
      <c r="E657">
        <v>830</v>
      </c>
      <c r="F657">
        <v>410</v>
      </c>
      <c r="G657">
        <v>390</v>
      </c>
      <c r="H657">
        <v>15</v>
      </c>
      <c r="I657">
        <v>815</v>
      </c>
      <c r="J657" s="8">
        <f>Table1[[#This Row],[PartyAVotes]]/Table1[[#This Row],[RegisteredVoters]]</f>
        <v>0.49397590361445781</v>
      </c>
      <c r="K657" s="8">
        <f>Table1[[#This Row],[PartyBVotes]]/Table1[[#This Row],[RegisteredVoters]]</f>
        <v>0.46987951807228917</v>
      </c>
      <c r="L657" s="8">
        <f>Table1[[#This Row],[PartyCVotes]]/Table1[[#This Row],[RegisteredVoters]]</f>
        <v>1.8072289156626505E-2</v>
      </c>
      <c r="M657">
        <f>ABS(Table1[[#This Row],[PartyAVotes]]-Table1[[#This Row],[PartyBVotes]])</f>
        <v>20</v>
      </c>
      <c r="N657" s="11">
        <f>Table1[[#This Row],[TotalVotesCast]]/Table1[[#This Row],[RegisteredVoters]]</f>
        <v>0.98192771084337349</v>
      </c>
      <c r="O657" t="str">
        <f>IF(Table1[[#This Row],[RegisteredVoters]]=Table1[[#This Row],[TotalVotesCast]],"Match","")</f>
        <v/>
      </c>
    </row>
    <row r="658" spans="1:15" ht="13.2">
      <c r="A658" s="1" t="s">
        <v>769</v>
      </c>
      <c r="B658" t="s">
        <v>18</v>
      </c>
      <c r="C658" t="s">
        <v>19</v>
      </c>
      <c r="D658" t="s">
        <v>688</v>
      </c>
      <c r="E658">
        <v>1100</v>
      </c>
      <c r="F658">
        <v>545</v>
      </c>
      <c r="G658">
        <v>520</v>
      </c>
      <c r="H658">
        <v>20</v>
      </c>
      <c r="I658">
        <v>1085</v>
      </c>
      <c r="J658" s="8">
        <f>Table1[[#This Row],[PartyAVotes]]/Table1[[#This Row],[RegisteredVoters]]</f>
        <v>0.49545454545454548</v>
      </c>
      <c r="K658" s="8">
        <f>Table1[[#This Row],[PartyBVotes]]/Table1[[#This Row],[RegisteredVoters]]</f>
        <v>0.47272727272727272</v>
      </c>
      <c r="L658" s="8">
        <f>Table1[[#This Row],[PartyCVotes]]/Table1[[#This Row],[RegisteredVoters]]</f>
        <v>1.8181818181818181E-2</v>
      </c>
      <c r="M658">
        <f>ABS(Table1[[#This Row],[PartyAVotes]]-Table1[[#This Row],[PartyBVotes]])</f>
        <v>25</v>
      </c>
      <c r="N658" s="11">
        <f>Table1[[#This Row],[TotalVotesCast]]/Table1[[#This Row],[RegisteredVoters]]</f>
        <v>0.98636363636363633</v>
      </c>
      <c r="O658" t="str">
        <f>IF(Table1[[#This Row],[RegisteredVoters]]=Table1[[#This Row],[TotalVotesCast]],"Match","")</f>
        <v/>
      </c>
    </row>
    <row r="659" spans="1:15" ht="13.2">
      <c r="A659" s="1" t="s">
        <v>770</v>
      </c>
      <c r="B659" t="s">
        <v>21</v>
      </c>
      <c r="C659" t="s">
        <v>23</v>
      </c>
      <c r="D659" t="s">
        <v>670</v>
      </c>
      <c r="E659">
        <v>1160</v>
      </c>
      <c r="F659">
        <v>575</v>
      </c>
      <c r="G659">
        <v>550</v>
      </c>
      <c r="H659">
        <v>20</v>
      </c>
      <c r="I659">
        <v>1145</v>
      </c>
      <c r="J659" s="8">
        <f>Table1[[#This Row],[PartyAVotes]]/Table1[[#This Row],[RegisteredVoters]]</f>
        <v>0.49568965517241381</v>
      </c>
      <c r="K659" s="8">
        <f>Table1[[#This Row],[PartyBVotes]]/Table1[[#This Row],[RegisteredVoters]]</f>
        <v>0.47413793103448276</v>
      </c>
      <c r="L659" s="8">
        <f>Table1[[#This Row],[PartyCVotes]]/Table1[[#This Row],[RegisteredVoters]]</f>
        <v>1.7241379310344827E-2</v>
      </c>
      <c r="M659">
        <f>ABS(Table1[[#This Row],[PartyAVotes]]-Table1[[#This Row],[PartyBVotes]])</f>
        <v>25</v>
      </c>
      <c r="N659" s="11">
        <f>Table1[[#This Row],[TotalVotesCast]]/Table1[[#This Row],[RegisteredVoters]]</f>
        <v>0.98706896551724133</v>
      </c>
      <c r="O659" t="str">
        <f>IF(Table1[[#This Row],[RegisteredVoters]]=Table1[[#This Row],[TotalVotesCast]],"Match","")</f>
        <v/>
      </c>
    </row>
    <row r="660" spans="1:15" ht="13.2">
      <c r="A660" s="1" t="s">
        <v>771</v>
      </c>
      <c r="B660" t="s">
        <v>10</v>
      </c>
      <c r="C660" t="s">
        <v>11</v>
      </c>
      <c r="D660" t="s">
        <v>738</v>
      </c>
      <c r="E660">
        <v>700</v>
      </c>
      <c r="F660">
        <v>340</v>
      </c>
      <c r="G660">
        <v>320</v>
      </c>
      <c r="H660">
        <v>10</v>
      </c>
      <c r="I660">
        <v>670</v>
      </c>
      <c r="J660" s="8">
        <f>Table1[[#This Row],[PartyAVotes]]/Table1[[#This Row],[RegisteredVoters]]</f>
        <v>0.48571428571428571</v>
      </c>
      <c r="K660" s="8">
        <f>Table1[[#This Row],[PartyBVotes]]/Table1[[#This Row],[RegisteredVoters]]</f>
        <v>0.45714285714285713</v>
      </c>
      <c r="L660" s="8">
        <f>Table1[[#This Row],[PartyCVotes]]/Table1[[#This Row],[RegisteredVoters]]</f>
        <v>1.4285714285714285E-2</v>
      </c>
      <c r="M660">
        <f>ABS(Table1[[#This Row],[PartyAVotes]]-Table1[[#This Row],[PartyBVotes]])</f>
        <v>20</v>
      </c>
      <c r="N660" s="11">
        <f>Table1[[#This Row],[TotalVotesCast]]/Table1[[#This Row],[RegisteredVoters]]</f>
        <v>0.95714285714285718</v>
      </c>
      <c r="O660" t="str">
        <f>IF(Table1[[#This Row],[RegisteredVoters]]=Table1[[#This Row],[TotalVotesCast]],"Match","")</f>
        <v/>
      </c>
    </row>
    <row r="661" spans="1:15" ht="13.2">
      <c r="A661" s="1" t="s">
        <v>772</v>
      </c>
      <c r="B661" t="s">
        <v>15</v>
      </c>
      <c r="C661" t="s">
        <v>16</v>
      </c>
      <c r="D661" t="s">
        <v>738</v>
      </c>
      <c r="E661">
        <v>1000</v>
      </c>
      <c r="F661">
        <v>490</v>
      </c>
      <c r="G661">
        <v>470</v>
      </c>
      <c r="H661">
        <v>15</v>
      </c>
      <c r="I661">
        <v>975</v>
      </c>
      <c r="J661" s="8">
        <f>Table1[[#This Row],[PartyAVotes]]/Table1[[#This Row],[RegisteredVoters]]</f>
        <v>0.49</v>
      </c>
      <c r="K661" s="8">
        <f>Table1[[#This Row],[PartyBVotes]]/Table1[[#This Row],[RegisteredVoters]]</f>
        <v>0.47</v>
      </c>
      <c r="L661" s="8">
        <f>Table1[[#This Row],[PartyCVotes]]/Table1[[#This Row],[RegisteredVoters]]</f>
        <v>1.4999999999999999E-2</v>
      </c>
      <c r="M661">
        <f>ABS(Table1[[#This Row],[PartyAVotes]]-Table1[[#This Row],[PartyBVotes]])</f>
        <v>20</v>
      </c>
      <c r="N661" s="11">
        <f>Table1[[#This Row],[TotalVotesCast]]/Table1[[#This Row],[RegisteredVoters]]</f>
        <v>0.97499999999999998</v>
      </c>
      <c r="O661" t="str">
        <f>IF(Table1[[#This Row],[RegisteredVoters]]=Table1[[#This Row],[TotalVotesCast]],"Match","")</f>
        <v/>
      </c>
    </row>
    <row r="662" spans="1:15" ht="13.2">
      <c r="A662" s="1" t="s">
        <v>773</v>
      </c>
      <c r="B662" t="s">
        <v>18</v>
      </c>
      <c r="C662" t="s">
        <v>20</v>
      </c>
      <c r="D662" t="s">
        <v>774</v>
      </c>
      <c r="E662">
        <v>1090</v>
      </c>
      <c r="F662">
        <v>540</v>
      </c>
      <c r="G662">
        <v>520</v>
      </c>
      <c r="H662">
        <v>15</v>
      </c>
      <c r="I662">
        <v>1075</v>
      </c>
      <c r="J662" s="8">
        <f>Table1[[#This Row],[PartyAVotes]]/Table1[[#This Row],[RegisteredVoters]]</f>
        <v>0.49541284403669728</v>
      </c>
      <c r="K662" s="8">
        <f>Table1[[#This Row],[PartyBVotes]]/Table1[[#This Row],[RegisteredVoters]]</f>
        <v>0.47706422018348627</v>
      </c>
      <c r="L662" s="8">
        <f>Table1[[#This Row],[PartyCVotes]]/Table1[[#This Row],[RegisteredVoters]]</f>
        <v>1.3761467889908258E-2</v>
      </c>
      <c r="M662">
        <f>ABS(Table1[[#This Row],[PartyAVotes]]-Table1[[#This Row],[PartyBVotes]])</f>
        <v>20</v>
      </c>
      <c r="N662" s="11">
        <f>Table1[[#This Row],[TotalVotesCast]]/Table1[[#This Row],[RegisteredVoters]]</f>
        <v>0.98623853211009171</v>
      </c>
      <c r="O662" t="str">
        <f>IF(Table1[[#This Row],[RegisteredVoters]]=Table1[[#This Row],[TotalVotesCast]],"Match","")</f>
        <v/>
      </c>
    </row>
    <row r="663" spans="1:15" ht="13.2">
      <c r="A663" s="1" t="s">
        <v>775</v>
      </c>
      <c r="B663" t="s">
        <v>21</v>
      </c>
      <c r="C663" t="s">
        <v>22</v>
      </c>
      <c r="D663" t="s">
        <v>729</v>
      </c>
      <c r="E663">
        <v>1350</v>
      </c>
      <c r="F663">
        <v>660</v>
      </c>
      <c r="G663">
        <v>630</v>
      </c>
      <c r="H663">
        <v>25</v>
      </c>
      <c r="I663">
        <v>1315</v>
      </c>
      <c r="J663" s="8">
        <f>Table1[[#This Row],[PartyAVotes]]/Table1[[#This Row],[RegisteredVoters]]</f>
        <v>0.48888888888888887</v>
      </c>
      <c r="K663" s="8">
        <f>Table1[[#This Row],[PartyBVotes]]/Table1[[#This Row],[RegisteredVoters]]</f>
        <v>0.46666666666666667</v>
      </c>
      <c r="L663" s="8">
        <f>Table1[[#This Row],[PartyCVotes]]/Table1[[#This Row],[RegisteredVoters]]</f>
        <v>1.8518518518518517E-2</v>
      </c>
      <c r="M663">
        <f>ABS(Table1[[#This Row],[PartyAVotes]]-Table1[[#This Row],[PartyBVotes]])</f>
        <v>30</v>
      </c>
      <c r="N663" s="11">
        <f>Table1[[#This Row],[TotalVotesCast]]/Table1[[#This Row],[RegisteredVoters]]</f>
        <v>0.97407407407407409</v>
      </c>
      <c r="O663" t="str">
        <f>IF(Table1[[#This Row],[RegisteredVoters]]=Table1[[#This Row],[TotalVotesCast]],"Match","")</f>
        <v/>
      </c>
    </row>
    <row r="664" spans="1:15" ht="13.2">
      <c r="A664" s="1" t="s">
        <v>776</v>
      </c>
      <c r="B664" t="s">
        <v>10</v>
      </c>
      <c r="C664" t="s">
        <v>14</v>
      </c>
      <c r="D664" t="s">
        <v>688</v>
      </c>
      <c r="E664">
        <v>790</v>
      </c>
      <c r="F664">
        <v>385</v>
      </c>
      <c r="G664">
        <v>365</v>
      </c>
      <c r="H664">
        <v>15</v>
      </c>
      <c r="I664">
        <v>765</v>
      </c>
      <c r="J664" s="8">
        <f>Table1[[#This Row],[PartyAVotes]]/Table1[[#This Row],[RegisteredVoters]]</f>
        <v>0.48734177215189872</v>
      </c>
      <c r="K664" s="8">
        <f>Table1[[#This Row],[PartyBVotes]]/Table1[[#This Row],[RegisteredVoters]]</f>
        <v>0.46202531645569622</v>
      </c>
      <c r="L664" s="8">
        <f>Table1[[#This Row],[PartyCVotes]]/Table1[[#This Row],[RegisteredVoters]]</f>
        <v>1.8987341772151899E-2</v>
      </c>
      <c r="M664">
        <f>ABS(Table1[[#This Row],[PartyAVotes]]-Table1[[#This Row],[PartyBVotes]])</f>
        <v>20</v>
      </c>
      <c r="N664" s="11">
        <f>Table1[[#This Row],[TotalVotesCast]]/Table1[[#This Row],[RegisteredVoters]]</f>
        <v>0.96835443037974689</v>
      </c>
      <c r="O664" t="str">
        <f>IF(Table1[[#This Row],[RegisteredVoters]]=Table1[[#This Row],[TotalVotesCast]],"Match","")</f>
        <v/>
      </c>
    </row>
    <row r="665" spans="1:15" ht="13.2">
      <c r="A665" s="1" t="s">
        <v>777</v>
      </c>
      <c r="B665" t="s">
        <v>15</v>
      </c>
      <c r="C665" t="s">
        <v>17</v>
      </c>
      <c r="D665" t="s">
        <v>670</v>
      </c>
      <c r="E665">
        <v>840</v>
      </c>
      <c r="F665">
        <v>415</v>
      </c>
      <c r="G665">
        <v>395</v>
      </c>
      <c r="H665">
        <v>15</v>
      </c>
      <c r="I665">
        <v>825</v>
      </c>
      <c r="J665" s="8">
        <f>Table1[[#This Row],[PartyAVotes]]/Table1[[#This Row],[RegisteredVoters]]</f>
        <v>0.49404761904761907</v>
      </c>
      <c r="K665" s="8">
        <f>Table1[[#This Row],[PartyBVotes]]/Table1[[#This Row],[RegisteredVoters]]</f>
        <v>0.47023809523809523</v>
      </c>
      <c r="L665" s="8">
        <f>Table1[[#This Row],[PartyCVotes]]/Table1[[#This Row],[RegisteredVoters]]</f>
        <v>1.7857142857142856E-2</v>
      </c>
      <c r="M665">
        <f>ABS(Table1[[#This Row],[PartyAVotes]]-Table1[[#This Row],[PartyBVotes]])</f>
        <v>20</v>
      </c>
      <c r="N665" s="11">
        <f>Table1[[#This Row],[TotalVotesCast]]/Table1[[#This Row],[RegisteredVoters]]</f>
        <v>0.9821428571428571</v>
      </c>
      <c r="O665" t="str">
        <f>IF(Table1[[#This Row],[RegisteredVoters]]=Table1[[#This Row],[TotalVotesCast]],"Match","")</f>
        <v/>
      </c>
    </row>
    <row r="666" spans="1:15" ht="13.2">
      <c r="A666" s="1" t="s">
        <v>778</v>
      </c>
      <c r="B666" t="s">
        <v>18</v>
      </c>
      <c r="C666" t="s">
        <v>19</v>
      </c>
      <c r="D666" t="s">
        <v>697</v>
      </c>
      <c r="E666">
        <v>1110</v>
      </c>
      <c r="F666">
        <v>550</v>
      </c>
      <c r="G666">
        <v>525</v>
      </c>
      <c r="H666">
        <v>20</v>
      </c>
      <c r="I666">
        <v>1095</v>
      </c>
      <c r="J666" s="8">
        <f>Table1[[#This Row],[PartyAVotes]]/Table1[[#This Row],[RegisteredVoters]]</f>
        <v>0.49549549549549549</v>
      </c>
      <c r="K666" s="8">
        <f>Table1[[#This Row],[PartyBVotes]]/Table1[[#This Row],[RegisteredVoters]]</f>
        <v>0.47297297297297297</v>
      </c>
      <c r="L666" s="8">
        <f>Table1[[#This Row],[PartyCVotes]]/Table1[[#This Row],[RegisteredVoters]]</f>
        <v>1.8018018018018018E-2</v>
      </c>
      <c r="M666">
        <f>ABS(Table1[[#This Row],[PartyAVotes]]-Table1[[#This Row],[PartyBVotes]])</f>
        <v>25</v>
      </c>
      <c r="N666" s="11">
        <f>Table1[[#This Row],[TotalVotesCast]]/Table1[[#This Row],[RegisteredVoters]]</f>
        <v>0.98648648648648651</v>
      </c>
      <c r="O666" t="str">
        <f>IF(Table1[[#This Row],[RegisteredVoters]]=Table1[[#This Row],[TotalVotesCast]],"Match","")</f>
        <v/>
      </c>
    </row>
    <row r="667" spans="1:15" ht="13.2">
      <c r="A667" s="1" t="s">
        <v>779</v>
      </c>
      <c r="B667" t="s">
        <v>21</v>
      </c>
      <c r="C667" t="s">
        <v>23</v>
      </c>
      <c r="D667" t="s">
        <v>679</v>
      </c>
      <c r="E667">
        <v>1170</v>
      </c>
      <c r="F667">
        <v>580</v>
      </c>
      <c r="G667">
        <v>555</v>
      </c>
      <c r="H667">
        <v>20</v>
      </c>
      <c r="I667">
        <v>1155</v>
      </c>
      <c r="J667" s="8">
        <f>Table1[[#This Row],[PartyAVotes]]/Table1[[#This Row],[RegisteredVoters]]</f>
        <v>0.49572649572649574</v>
      </c>
      <c r="K667" s="8">
        <f>Table1[[#This Row],[PartyBVotes]]/Table1[[#This Row],[RegisteredVoters]]</f>
        <v>0.47435897435897434</v>
      </c>
      <c r="L667" s="8">
        <f>Table1[[#This Row],[PartyCVotes]]/Table1[[#This Row],[RegisteredVoters]]</f>
        <v>1.7094017094017096E-2</v>
      </c>
      <c r="M667">
        <f>ABS(Table1[[#This Row],[PartyAVotes]]-Table1[[#This Row],[PartyBVotes]])</f>
        <v>25</v>
      </c>
      <c r="N667" s="11">
        <f>Table1[[#This Row],[TotalVotesCast]]/Table1[[#This Row],[RegisteredVoters]]</f>
        <v>0.98717948717948723</v>
      </c>
      <c r="O667" t="str">
        <f>IF(Table1[[#This Row],[RegisteredVoters]]=Table1[[#This Row],[TotalVotesCast]],"Match","")</f>
        <v/>
      </c>
    </row>
    <row r="668" spans="1:15" ht="13.2">
      <c r="A668" s="1" t="s">
        <v>780</v>
      </c>
      <c r="B668" t="s">
        <v>10</v>
      </c>
      <c r="C668" t="s">
        <v>11</v>
      </c>
      <c r="D668" t="s">
        <v>747</v>
      </c>
      <c r="E668">
        <v>710</v>
      </c>
      <c r="F668">
        <v>345</v>
      </c>
      <c r="G668">
        <v>325</v>
      </c>
      <c r="H668">
        <v>10</v>
      </c>
      <c r="I668">
        <v>680</v>
      </c>
      <c r="J668" s="8">
        <f>Table1[[#This Row],[PartyAVotes]]/Table1[[#This Row],[RegisteredVoters]]</f>
        <v>0.4859154929577465</v>
      </c>
      <c r="K668" s="8">
        <f>Table1[[#This Row],[PartyBVotes]]/Table1[[#This Row],[RegisteredVoters]]</f>
        <v>0.45774647887323944</v>
      </c>
      <c r="L668" s="8">
        <f>Table1[[#This Row],[PartyCVotes]]/Table1[[#This Row],[RegisteredVoters]]</f>
        <v>1.4084507042253521E-2</v>
      </c>
      <c r="M668">
        <f>ABS(Table1[[#This Row],[PartyAVotes]]-Table1[[#This Row],[PartyBVotes]])</f>
        <v>20</v>
      </c>
      <c r="N668" s="11">
        <f>Table1[[#This Row],[TotalVotesCast]]/Table1[[#This Row],[RegisteredVoters]]</f>
        <v>0.95774647887323938</v>
      </c>
      <c r="O668" t="str">
        <f>IF(Table1[[#This Row],[RegisteredVoters]]=Table1[[#This Row],[TotalVotesCast]],"Match","")</f>
        <v/>
      </c>
    </row>
    <row r="669" spans="1:15" ht="13.2">
      <c r="A669" s="1" t="s">
        <v>781</v>
      </c>
      <c r="B669" t="s">
        <v>15</v>
      </c>
      <c r="C669" t="s">
        <v>16</v>
      </c>
      <c r="D669" t="s">
        <v>747</v>
      </c>
      <c r="E669">
        <v>1010</v>
      </c>
      <c r="F669">
        <v>495</v>
      </c>
      <c r="G669">
        <v>475</v>
      </c>
      <c r="H669">
        <v>15</v>
      </c>
      <c r="I669">
        <v>985</v>
      </c>
      <c r="J669" s="8">
        <f>Table1[[#This Row],[PartyAVotes]]/Table1[[#This Row],[RegisteredVoters]]</f>
        <v>0.49009900990099009</v>
      </c>
      <c r="K669" s="8">
        <f>Table1[[#This Row],[PartyBVotes]]/Table1[[#This Row],[RegisteredVoters]]</f>
        <v>0.47029702970297027</v>
      </c>
      <c r="L669" s="8">
        <f>Table1[[#This Row],[PartyCVotes]]/Table1[[#This Row],[RegisteredVoters]]</f>
        <v>1.4851485148514851E-2</v>
      </c>
      <c r="M669">
        <f>ABS(Table1[[#This Row],[PartyAVotes]]-Table1[[#This Row],[PartyBVotes]])</f>
        <v>20</v>
      </c>
      <c r="N669" s="11">
        <f>Table1[[#This Row],[TotalVotesCast]]/Table1[[#This Row],[RegisteredVoters]]</f>
        <v>0.97524752475247523</v>
      </c>
      <c r="O669" t="str">
        <f>IF(Table1[[#This Row],[RegisteredVoters]]=Table1[[#This Row],[TotalVotesCast]],"Match","")</f>
        <v/>
      </c>
    </row>
    <row r="670" spans="1:15" ht="13.2">
      <c r="A670" s="1" t="s">
        <v>782</v>
      </c>
      <c r="B670" t="s">
        <v>18</v>
      </c>
      <c r="C670" t="s">
        <v>20</v>
      </c>
      <c r="D670" t="s">
        <v>783</v>
      </c>
      <c r="E670">
        <v>1100</v>
      </c>
      <c r="F670">
        <v>545</v>
      </c>
      <c r="G670">
        <v>525</v>
      </c>
      <c r="H670">
        <v>15</v>
      </c>
      <c r="I670">
        <v>1085</v>
      </c>
      <c r="J670" s="8">
        <f>Table1[[#This Row],[PartyAVotes]]/Table1[[#This Row],[RegisteredVoters]]</f>
        <v>0.49545454545454548</v>
      </c>
      <c r="K670" s="8">
        <f>Table1[[#This Row],[PartyBVotes]]/Table1[[#This Row],[RegisteredVoters]]</f>
        <v>0.47727272727272729</v>
      </c>
      <c r="L670" s="8">
        <f>Table1[[#This Row],[PartyCVotes]]/Table1[[#This Row],[RegisteredVoters]]</f>
        <v>1.3636363636363636E-2</v>
      </c>
      <c r="M670">
        <f>ABS(Table1[[#This Row],[PartyAVotes]]-Table1[[#This Row],[PartyBVotes]])</f>
        <v>20</v>
      </c>
      <c r="N670" s="11">
        <f>Table1[[#This Row],[TotalVotesCast]]/Table1[[#This Row],[RegisteredVoters]]</f>
        <v>0.98636363636363633</v>
      </c>
      <c r="O670" t="str">
        <f>IF(Table1[[#This Row],[RegisteredVoters]]=Table1[[#This Row],[TotalVotesCast]],"Match","")</f>
        <v/>
      </c>
    </row>
    <row r="671" spans="1:15" ht="13.2">
      <c r="A671" s="1" t="s">
        <v>784</v>
      </c>
      <c r="B671" t="s">
        <v>21</v>
      </c>
      <c r="C671" t="s">
        <v>22</v>
      </c>
      <c r="D671" t="s">
        <v>738</v>
      </c>
      <c r="E671">
        <v>1360</v>
      </c>
      <c r="F671">
        <v>665</v>
      </c>
      <c r="G671">
        <v>635</v>
      </c>
      <c r="H671">
        <v>25</v>
      </c>
      <c r="I671">
        <v>1325</v>
      </c>
      <c r="J671" s="8">
        <f>Table1[[#This Row],[PartyAVotes]]/Table1[[#This Row],[RegisteredVoters]]</f>
        <v>0.4889705882352941</v>
      </c>
      <c r="K671" s="8">
        <f>Table1[[#This Row],[PartyBVotes]]/Table1[[#This Row],[RegisteredVoters]]</f>
        <v>0.46691176470588236</v>
      </c>
      <c r="L671" s="8">
        <f>Table1[[#This Row],[PartyCVotes]]/Table1[[#This Row],[RegisteredVoters]]</f>
        <v>1.8382352941176471E-2</v>
      </c>
      <c r="M671">
        <f>ABS(Table1[[#This Row],[PartyAVotes]]-Table1[[#This Row],[PartyBVotes]])</f>
        <v>30</v>
      </c>
      <c r="N671" s="11">
        <f>Table1[[#This Row],[TotalVotesCast]]/Table1[[#This Row],[RegisteredVoters]]</f>
        <v>0.97426470588235292</v>
      </c>
      <c r="O671" t="str">
        <f>IF(Table1[[#This Row],[RegisteredVoters]]=Table1[[#This Row],[TotalVotesCast]],"Match","")</f>
        <v/>
      </c>
    </row>
    <row r="672" spans="1:15" ht="13.2">
      <c r="A672" s="1" t="s">
        <v>785</v>
      </c>
      <c r="B672" t="s">
        <v>10</v>
      </c>
      <c r="C672" t="s">
        <v>14</v>
      </c>
      <c r="D672" t="s">
        <v>697</v>
      </c>
      <c r="E672">
        <v>800</v>
      </c>
      <c r="F672">
        <v>390</v>
      </c>
      <c r="G672">
        <v>370</v>
      </c>
      <c r="H672">
        <v>15</v>
      </c>
      <c r="I672">
        <v>775</v>
      </c>
      <c r="J672" s="8">
        <f>Table1[[#This Row],[PartyAVotes]]/Table1[[#This Row],[RegisteredVoters]]</f>
        <v>0.48749999999999999</v>
      </c>
      <c r="K672" s="8">
        <f>Table1[[#This Row],[PartyBVotes]]/Table1[[#This Row],[RegisteredVoters]]</f>
        <v>0.46250000000000002</v>
      </c>
      <c r="L672" s="8">
        <f>Table1[[#This Row],[PartyCVotes]]/Table1[[#This Row],[RegisteredVoters]]</f>
        <v>1.8749999999999999E-2</v>
      </c>
      <c r="M672">
        <f>ABS(Table1[[#This Row],[PartyAVotes]]-Table1[[#This Row],[PartyBVotes]])</f>
        <v>20</v>
      </c>
      <c r="N672" s="11">
        <f>Table1[[#This Row],[TotalVotesCast]]/Table1[[#This Row],[RegisteredVoters]]</f>
        <v>0.96875</v>
      </c>
      <c r="O672" t="str">
        <f>IF(Table1[[#This Row],[RegisteredVoters]]=Table1[[#This Row],[TotalVotesCast]],"Match","")</f>
        <v/>
      </c>
    </row>
    <row r="673" spans="1:15" ht="13.2">
      <c r="A673" s="1" t="s">
        <v>786</v>
      </c>
      <c r="B673" t="s">
        <v>15</v>
      </c>
      <c r="C673" t="s">
        <v>17</v>
      </c>
      <c r="D673" t="s">
        <v>679</v>
      </c>
      <c r="E673">
        <v>850</v>
      </c>
      <c r="F673">
        <v>420</v>
      </c>
      <c r="G673">
        <v>400</v>
      </c>
      <c r="H673">
        <v>15</v>
      </c>
      <c r="I673">
        <v>835</v>
      </c>
      <c r="J673" s="8">
        <f>Table1[[#This Row],[PartyAVotes]]/Table1[[#This Row],[RegisteredVoters]]</f>
        <v>0.49411764705882355</v>
      </c>
      <c r="K673" s="8">
        <f>Table1[[#This Row],[PartyBVotes]]/Table1[[#This Row],[RegisteredVoters]]</f>
        <v>0.47058823529411764</v>
      </c>
      <c r="L673" s="8">
        <f>Table1[[#This Row],[PartyCVotes]]/Table1[[#This Row],[RegisteredVoters]]</f>
        <v>1.7647058823529412E-2</v>
      </c>
      <c r="M673">
        <f>ABS(Table1[[#This Row],[PartyAVotes]]-Table1[[#This Row],[PartyBVotes]])</f>
        <v>20</v>
      </c>
      <c r="N673" s="11">
        <f>Table1[[#This Row],[TotalVotesCast]]/Table1[[#This Row],[RegisteredVoters]]</f>
        <v>0.98235294117647054</v>
      </c>
      <c r="O673" t="str">
        <f>IF(Table1[[#This Row],[RegisteredVoters]]=Table1[[#This Row],[TotalVotesCast]],"Match","")</f>
        <v/>
      </c>
    </row>
    <row r="674" spans="1:15" ht="13.2">
      <c r="A674" s="1" t="s">
        <v>787</v>
      </c>
      <c r="B674" t="s">
        <v>18</v>
      </c>
      <c r="C674" t="s">
        <v>19</v>
      </c>
      <c r="D674" t="s">
        <v>706</v>
      </c>
      <c r="E674">
        <v>1120</v>
      </c>
      <c r="F674">
        <v>555</v>
      </c>
      <c r="G674">
        <v>530</v>
      </c>
      <c r="H674">
        <v>20</v>
      </c>
      <c r="I674">
        <v>1105</v>
      </c>
      <c r="J674" s="8">
        <f>Table1[[#This Row],[PartyAVotes]]/Table1[[#This Row],[RegisteredVoters]]</f>
        <v>0.4955357142857143</v>
      </c>
      <c r="K674" s="8">
        <f>Table1[[#This Row],[PartyBVotes]]/Table1[[#This Row],[RegisteredVoters]]</f>
        <v>0.4732142857142857</v>
      </c>
      <c r="L674" s="8">
        <f>Table1[[#This Row],[PartyCVotes]]/Table1[[#This Row],[RegisteredVoters]]</f>
        <v>1.7857142857142856E-2</v>
      </c>
      <c r="M674">
        <f>ABS(Table1[[#This Row],[PartyAVotes]]-Table1[[#This Row],[PartyBVotes]])</f>
        <v>25</v>
      </c>
      <c r="N674" s="11">
        <f>Table1[[#This Row],[TotalVotesCast]]/Table1[[#This Row],[RegisteredVoters]]</f>
        <v>0.9866071428571429</v>
      </c>
      <c r="O674" t="str">
        <f>IF(Table1[[#This Row],[RegisteredVoters]]=Table1[[#This Row],[TotalVotesCast]],"Match","")</f>
        <v/>
      </c>
    </row>
    <row r="675" spans="1:15" ht="13.2">
      <c r="A675" s="1" t="s">
        <v>788</v>
      </c>
      <c r="B675" t="s">
        <v>21</v>
      </c>
      <c r="C675" t="s">
        <v>23</v>
      </c>
      <c r="D675" t="s">
        <v>688</v>
      </c>
      <c r="E675">
        <v>1180</v>
      </c>
      <c r="F675">
        <v>585</v>
      </c>
      <c r="G675">
        <v>560</v>
      </c>
      <c r="H675">
        <v>20</v>
      </c>
      <c r="I675">
        <v>1165</v>
      </c>
      <c r="J675" s="8">
        <f>Table1[[#This Row],[PartyAVotes]]/Table1[[#This Row],[RegisteredVoters]]</f>
        <v>0.49576271186440679</v>
      </c>
      <c r="K675" s="8">
        <f>Table1[[#This Row],[PartyBVotes]]/Table1[[#This Row],[RegisteredVoters]]</f>
        <v>0.47457627118644069</v>
      </c>
      <c r="L675" s="8">
        <f>Table1[[#This Row],[PartyCVotes]]/Table1[[#This Row],[RegisteredVoters]]</f>
        <v>1.6949152542372881E-2</v>
      </c>
      <c r="M675">
        <f>ABS(Table1[[#This Row],[PartyAVotes]]-Table1[[#This Row],[PartyBVotes]])</f>
        <v>25</v>
      </c>
      <c r="N675" s="11">
        <f>Table1[[#This Row],[TotalVotesCast]]/Table1[[#This Row],[RegisteredVoters]]</f>
        <v>0.98728813559322037</v>
      </c>
      <c r="O675" t="str">
        <f>IF(Table1[[#This Row],[RegisteredVoters]]=Table1[[#This Row],[TotalVotesCast]],"Match","")</f>
        <v/>
      </c>
    </row>
    <row r="676" spans="1:15" ht="13.2">
      <c r="A676" s="1" t="s">
        <v>789</v>
      </c>
      <c r="B676" t="s">
        <v>10</v>
      </c>
      <c r="C676" t="s">
        <v>11</v>
      </c>
      <c r="D676" t="s">
        <v>756</v>
      </c>
      <c r="E676">
        <v>720</v>
      </c>
      <c r="F676">
        <v>350</v>
      </c>
      <c r="G676">
        <v>330</v>
      </c>
      <c r="H676">
        <v>10</v>
      </c>
      <c r="I676">
        <v>690</v>
      </c>
      <c r="J676" s="8">
        <f>Table1[[#This Row],[PartyAVotes]]/Table1[[#This Row],[RegisteredVoters]]</f>
        <v>0.4861111111111111</v>
      </c>
      <c r="K676" s="8">
        <f>Table1[[#This Row],[PartyBVotes]]/Table1[[#This Row],[RegisteredVoters]]</f>
        <v>0.45833333333333331</v>
      </c>
      <c r="L676" s="8">
        <f>Table1[[#This Row],[PartyCVotes]]/Table1[[#This Row],[RegisteredVoters]]</f>
        <v>1.3888888888888888E-2</v>
      </c>
      <c r="M676">
        <f>ABS(Table1[[#This Row],[PartyAVotes]]-Table1[[#This Row],[PartyBVotes]])</f>
        <v>20</v>
      </c>
      <c r="N676" s="11">
        <f>Table1[[#This Row],[TotalVotesCast]]/Table1[[#This Row],[RegisteredVoters]]</f>
        <v>0.95833333333333337</v>
      </c>
      <c r="O676" t="str">
        <f>IF(Table1[[#This Row],[RegisteredVoters]]=Table1[[#This Row],[TotalVotesCast]],"Match","")</f>
        <v/>
      </c>
    </row>
    <row r="677" spans="1:15" ht="13.2">
      <c r="A677" s="1" t="s">
        <v>790</v>
      </c>
      <c r="B677" t="s">
        <v>15</v>
      </c>
      <c r="C677" t="s">
        <v>16</v>
      </c>
      <c r="D677" t="s">
        <v>756</v>
      </c>
      <c r="E677">
        <v>1020</v>
      </c>
      <c r="F677">
        <v>500</v>
      </c>
      <c r="G677">
        <v>480</v>
      </c>
      <c r="H677">
        <v>15</v>
      </c>
      <c r="I677">
        <v>995</v>
      </c>
      <c r="J677" s="8">
        <f>Table1[[#This Row],[PartyAVotes]]/Table1[[#This Row],[RegisteredVoters]]</f>
        <v>0.49019607843137253</v>
      </c>
      <c r="K677" s="8">
        <f>Table1[[#This Row],[PartyBVotes]]/Table1[[#This Row],[RegisteredVoters]]</f>
        <v>0.47058823529411764</v>
      </c>
      <c r="L677" s="8">
        <f>Table1[[#This Row],[PartyCVotes]]/Table1[[#This Row],[RegisteredVoters]]</f>
        <v>1.4705882352941176E-2</v>
      </c>
      <c r="M677">
        <f>ABS(Table1[[#This Row],[PartyAVotes]]-Table1[[#This Row],[PartyBVotes]])</f>
        <v>20</v>
      </c>
      <c r="N677" s="11">
        <f>Table1[[#This Row],[TotalVotesCast]]/Table1[[#This Row],[RegisteredVoters]]</f>
        <v>0.97549019607843135</v>
      </c>
      <c r="O677" t="str">
        <f>IF(Table1[[#This Row],[RegisteredVoters]]=Table1[[#This Row],[TotalVotesCast]],"Match","")</f>
        <v/>
      </c>
    </row>
    <row r="678" spans="1:15" ht="13.2">
      <c r="A678" s="1" t="s">
        <v>791</v>
      </c>
      <c r="B678" t="s">
        <v>18</v>
      </c>
      <c r="C678" t="s">
        <v>20</v>
      </c>
      <c r="D678" t="s">
        <v>792</v>
      </c>
      <c r="E678">
        <v>1110</v>
      </c>
      <c r="F678">
        <v>550</v>
      </c>
      <c r="G678">
        <v>530</v>
      </c>
      <c r="H678">
        <v>15</v>
      </c>
      <c r="I678">
        <v>1095</v>
      </c>
      <c r="J678" s="8">
        <f>Table1[[#This Row],[PartyAVotes]]/Table1[[#This Row],[RegisteredVoters]]</f>
        <v>0.49549549549549549</v>
      </c>
      <c r="K678" s="8">
        <f>Table1[[#This Row],[PartyBVotes]]/Table1[[#This Row],[RegisteredVoters]]</f>
        <v>0.47747747747747749</v>
      </c>
      <c r="L678" s="8">
        <f>Table1[[#This Row],[PartyCVotes]]/Table1[[#This Row],[RegisteredVoters]]</f>
        <v>1.3513513513513514E-2</v>
      </c>
      <c r="M678">
        <f>ABS(Table1[[#This Row],[PartyAVotes]]-Table1[[#This Row],[PartyBVotes]])</f>
        <v>20</v>
      </c>
      <c r="N678" s="11">
        <f>Table1[[#This Row],[TotalVotesCast]]/Table1[[#This Row],[RegisteredVoters]]</f>
        <v>0.98648648648648651</v>
      </c>
      <c r="O678" t="str">
        <f>IF(Table1[[#This Row],[RegisteredVoters]]=Table1[[#This Row],[TotalVotesCast]],"Match","")</f>
        <v/>
      </c>
    </row>
    <row r="679" spans="1:15" ht="13.2">
      <c r="A679" s="1" t="s">
        <v>793</v>
      </c>
      <c r="B679" t="s">
        <v>21</v>
      </c>
      <c r="C679" t="s">
        <v>22</v>
      </c>
      <c r="D679" t="s">
        <v>747</v>
      </c>
      <c r="E679">
        <v>1370</v>
      </c>
      <c r="F679">
        <v>670</v>
      </c>
      <c r="G679">
        <v>640</v>
      </c>
      <c r="H679">
        <v>25</v>
      </c>
      <c r="I679">
        <v>1335</v>
      </c>
      <c r="J679" s="8">
        <f>Table1[[#This Row],[PartyAVotes]]/Table1[[#This Row],[RegisteredVoters]]</f>
        <v>0.48905109489051096</v>
      </c>
      <c r="K679" s="8">
        <f>Table1[[#This Row],[PartyBVotes]]/Table1[[#This Row],[RegisteredVoters]]</f>
        <v>0.46715328467153283</v>
      </c>
      <c r="L679" s="8">
        <f>Table1[[#This Row],[PartyCVotes]]/Table1[[#This Row],[RegisteredVoters]]</f>
        <v>1.824817518248175E-2</v>
      </c>
      <c r="M679">
        <f>ABS(Table1[[#This Row],[PartyAVotes]]-Table1[[#This Row],[PartyBVotes]])</f>
        <v>30</v>
      </c>
      <c r="N679" s="11">
        <f>Table1[[#This Row],[TotalVotesCast]]/Table1[[#This Row],[RegisteredVoters]]</f>
        <v>0.97445255474452552</v>
      </c>
      <c r="O679" t="str">
        <f>IF(Table1[[#This Row],[RegisteredVoters]]=Table1[[#This Row],[TotalVotesCast]],"Match","")</f>
        <v/>
      </c>
    </row>
    <row r="680" spans="1:15" ht="13.2">
      <c r="A680" s="1" t="s">
        <v>794</v>
      </c>
      <c r="B680" t="s">
        <v>10</v>
      </c>
      <c r="C680" t="s">
        <v>14</v>
      </c>
      <c r="D680" t="s">
        <v>706</v>
      </c>
      <c r="E680">
        <v>810</v>
      </c>
      <c r="F680">
        <v>395</v>
      </c>
      <c r="G680">
        <v>375</v>
      </c>
      <c r="H680">
        <v>15</v>
      </c>
      <c r="I680">
        <v>785</v>
      </c>
      <c r="J680" s="8">
        <f>Table1[[#This Row],[PartyAVotes]]/Table1[[#This Row],[RegisteredVoters]]</f>
        <v>0.48765432098765432</v>
      </c>
      <c r="K680" s="8">
        <f>Table1[[#This Row],[PartyBVotes]]/Table1[[#This Row],[RegisteredVoters]]</f>
        <v>0.46296296296296297</v>
      </c>
      <c r="L680" s="8">
        <f>Table1[[#This Row],[PartyCVotes]]/Table1[[#This Row],[RegisteredVoters]]</f>
        <v>1.8518518518518517E-2</v>
      </c>
      <c r="M680">
        <f>ABS(Table1[[#This Row],[PartyAVotes]]-Table1[[#This Row],[PartyBVotes]])</f>
        <v>20</v>
      </c>
      <c r="N680" s="11">
        <f>Table1[[#This Row],[TotalVotesCast]]/Table1[[#This Row],[RegisteredVoters]]</f>
        <v>0.96913580246913578</v>
      </c>
      <c r="O680" t="str">
        <f>IF(Table1[[#This Row],[RegisteredVoters]]=Table1[[#This Row],[TotalVotesCast]],"Match","")</f>
        <v/>
      </c>
    </row>
    <row r="681" spans="1:15" ht="13.2">
      <c r="A681" s="1" t="s">
        <v>795</v>
      </c>
      <c r="B681" t="s">
        <v>15</v>
      </c>
      <c r="C681" t="s">
        <v>17</v>
      </c>
      <c r="D681" t="s">
        <v>688</v>
      </c>
      <c r="E681">
        <v>860</v>
      </c>
      <c r="F681">
        <v>425</v>
      </c>
      <c r="G681">
        <v>405</v>
      </c>
      <c r="H681">
        <v>15</v>
      </c>
      <c r="I681">
        <v>845</v>
      </c>
      <c r="J681" s="8">
        <f>Table1[[#This Row],[PartyAVotes]]/Table1[[#This Row],[RegisteredVoters]]</f>
        <v>0.4941860465116279</v>
      </c>
      <c r="K681" s="8">
        <f>Table1[[#This Row],[PartyBVotes]]/Table1[[#This Row],[RegisteredVoters]]</f>
        <v>0.47093023255813954</v>
      </c>
      <c r="L681" s="8">
        <f>Table1[[#This Row],[PartyCVotes]]/Table1[[#This Row],[RegisteredVoters]]</f>
        <v>1.7441860465116279E-2</v>
      </c>
      <c r="M681">
        <f>ABS(Table1[[#This Row],[PartyAVotes]]-Table1[[#This Row],[PartyBVotes]])</f>
        <v>20</v>
      </c>
      <c r="N681" s="11">
        <f>Table1[[#This Row],[TotalVotesCast]]/Table1[[#This Row],[RegisteredVoters]]</f>
        <v>0.98255813953488369</v>
      </c>
      <c r="O681" t="str">
        <f>IF(Table1[[#This Row],[RegisteredVoters]]=Table1[[#This Row],[TotalVotesCast]],"Match","")</f>
        <v/>
      </c>
    </row>
    <row r="682" spans="1:15" ht="13.2">
      <c r="A682" s="1" t="s">
        <v>796</v>
      </c>
      <c r="B682" t="s">
        <v>18</v>
      </c>
      <c r="C682" t="s">
        <v>19</v>
      </c>
      <c r="D682" t="s">
        <v>711</v>
      </c>
      <c r="E682">
        <v>1130</v>
      </c>
      <c r="F682">
        <v>560</v>
      </c>
      <c r="G682">
        <v>535</v>
      </c>
      <c r="H682">
        <v>20</v>
      </c>
      <c r="I682">
        <v>1115</v>
      </c>
      <c r="J682" s="8">
        <f>Table1[[#This Row],[PartyAVotes]]/Table1[[#This Row],[RegisteredVoters]]</f>
        <v>0.49557522123893805</v>
      </c>
      <c r="K682" s="8">
        <f>Table1[[#This Row],[PartyBVotes]]/Table1[[#This Row],[RegisteredVoters]]</f>
        <v>0.47345132743362833</v>
      </c>
      <c r="L682" s="8">
        <f>Table1[[#This Row],[PartyCVotes]]/Table1[[#This Row],[RegisteredVoters]]</f>
        <v>1.7699115044247787E-2</v>
      </c>
      <c r="M682">
        <f>ABS(Table1[[#This Row],[PartyAVotes]]-Table1[[#This Row],[PartyBVotes]])</f>
        <v>25</v>
      </c>
      <c r="N682" s="11">
        <f>Table1[[#This Row],[TotalVotesCast]]/Table1[[#This Row],[RegisteredVoters]]</f>
        <v>0.98672566371681414</v>
      </c>
      <c r="O682" t="str">
        <f>IF(Table1[[#This Row],[RegisteredVoters]]=Table1[[#This Row],[TotalVotesCast]],"Match","")</f>
        <v/>
      </c>
    </row>
    <row r="683" spans="1:15" ht="13.2">
      <c r="A683" s="1" t="s">
        <v>797</v>
      </c>
      <c r="B683" t="s">
        <v>21</v>
      </c>
      <c r="C683" t="s">
        <v>23</v>
      </c>
      <c r="D683" t="s">
        <v>697</v>
      </c>
      <c r="E683">
        <v>1190</v>
      </c>
      <c r="F683">
        <v>590</v>
      </c>
      <c r="G683">
        <v>565</v>
      </c>
      <c r="H683">
        <v>20</v>
      </c>
      <c r="I683">
        <v>1175</v>
      </c>
      <c r="J683" s="8">
        <f>Table1[[#This Row],[PartyAVotes]]/Table1[[#This Row],[RegisteredVoters]]</f>
        <v>0.49579831932773111</v>
      </c>
      <c r="K683" s="8">
        <f>Table1[[#This Row],[PartyBVotes]]/Table1[[#This Row],[RegisteredVoters]]</f>
        <v>0.47478991596638653</v>
      </c>
      <c r="L683" s="8">
        <f>Table1[[#This Row],[PartyCVotes]]/Table1[[#This Row],[RegisteredVoters]]</f>
        <v>1.680672268907563E-2</v>
      </c>
      <c r="M683">
        <f>ABS(Table1[[#This Row],[PartyAVotes]]-Table1[[#This Row],[PartyBVotes]])</f>
        <v>25</v>
      </c>
      <c r="N683" s="11">
        <f>Table1[[#This Row],[TotalVotesCast]]/Table1[[#This Row],[RegisteredVoters]]</f>
        <v>0.98739495798319332</v>
      </c>
      <c r="O683" t="str">
        <f>IF(Table1[[#This Row],[RegisteredVoters]]=Table1[[#This Row],[TotalVotesCast]],"Match","")</f>
        <v/>
      </c>
    </row>
    <row r="684" spans="1:15" ht="13.2">
      <c r="A684" s="1" t="s">
        <v>798</v>
      </c>
      <c r="B684" t="s">
        <v>10</v>
      </c>
      <c r="C684" t="s">
        <v>11</v>
      </c>
      <c r="D684" t="s">
        <v>765</v>
      </c>
      <c r="E684">
        <v>730</v>
      </c>
      <c r="F684">
        <v>355</v>
      </c>
      <c r="G684">
        <v>335</v>
      </c>
      <c r="H684">
        <v>10</v>
      </c>
      <c r="I684">
        <v>700</v>
      </c>
      <c r="J684" s="8">
        <f>Table1[[#This Row],[PartyAVotes]]/Table1[[#This Row],[RegisteredVoters]]</f>
        <v>0.4863013698630137</v>
      </c>
      <c r="K684" s="8">
        <f>Table1[[#This Row],[PartyBVotes]]/Table1[[#This Row],[RegisteredVoters]]</f>
        <v>0.4589041095890411</v>
      </c>
      <c r="L684" s="8">
        <f>Table1[[#This Row],[PartyCVotes]]/Table1[[#This Row],[RegisteredVoters]]</f>
        <v>1.3698630136986301E-2</v>
      </c>
      <c r="M684">
        <f>ABS(Table1[[#This Row],[PartyAVotes]]-Table1[[#This Row],[PartyBVotes]])</f>
        <v>20</v>
      </c>
      <c r="N684" s="11">
        <f>Table1[[#This Row],[TotalVotesCast]]/Table1[[#This Row],[RegisteredVoters]]</f>
        <v>0.95890410958904104</v>
      </c>
      <c r="O684" t="str">
        <f>IF(Table1[[#This Row],[RegisteredVoters]]=Table1[[#This Row],[TotalVotesCast]],"Match","")</f>
        <v/>
      </c>
    </row>
    <row r="685" spans="1:15" ht="13.2">
      <c r="A685" s="1" t="s">
        <v>799</v>
      </c>
      <c r="B685" t="s">
        <v>15</v>
      </c>
      <c r="C685" t="s">
        <v>16</v>
      </c>
      <c r="D685" t="s">
        <v>765</v>
      </c>
      <c r="E685">
        <v>1030</v>
      </c>
      <c r="F685">
        <v>505</v>
      </c>
      <c r="G685">
        <v>485</v>
      </c>
      <c r="H685">
        <v>15</v>
      </c>
      <c r="I685">
        <v>1005</v>
      </c>
      <c r="J685" s="8">
        <f>Table1[[#This Row],[PartyAVotes]]/Table1[[#This Row],[RegisteredVoters]]</f>
        <v>0.49029126213592233</v>
      </c>
      <c r="K685" s="8">
        <f>Table1[[#This Row],[PartyBVotes]]/Table1[[#This Row],[RegisteredVoters]]</f>
        <v>0.470873786407767</v>
      </c>
      <c r="L685" s="8">
        <f>Table1[[#This Row],[PartyCVotes]]/Table1[[#This Row],[RegisteredVoters]]</f>
        <v>1.4563106796116505E-2</v>
      </c>
      <c r="M685">
        <f>ABS(Table1[[#This Row],[PartyAVotes]]-Table1[[#This Row],[PartyBVotes]])</f>
        <v>20</v>
      </c>
      <c r="N685" s="11">
        <f>Table1[[#This Row],[TotalVotesCast]]/Table1[[#This Row],[RegisteredVoters]]</f>
        <v>0.97572815533980584</v>
      </c>
      <c r="O685" t="str">
        <f>IF(Table1[[#This Row],[RegisteredVoters]]=Table1[[#This Row],[TotalVotesCast]],"Match","")</f>
        <v/>
      </c>
    </row>
    <row r="686" spans="1:15" ht="13.2">
      <c r="A686" s="1" t="s">
        <v>800</v>
      </c>
      <c r="B686" t="s">
        <v>18</v>
      </c>
      <c r="C686" t="s">
        <v>20</v>
      </c>
      <c r="D686" t="s">
        <v>801</v>
      </c>
      <c r="E686">
        <v>1120</v>
      </c>
      <c r="F686">
        <v>555</v>
      </c>
      <c r="G686">
        <v>535</v>
      </c>
      <c r="H686">
        <v>15</v>
      </c>
      <c r="I686">
        <v>1105</v>
      </c>
      <c r="J686" s="8">
        <f>Table1[[#This Row],[PartyAVotes]]/Table1[[#This Row],[RegisteredVoters]]</f>
        <v>0.4955357142857143</v>
      </c>
      <c r="K686" s="8">
        <f>Table1[[#This Row],[PartyBVotes]]/Table1[[#This Row],[RegisteredVoters]]</f>
        <v>0.47767857142857145</v>
      </c>
      <c r="L686" s="8">
        <f>Table1[[#This Row],[PartyCVotes]]/Table1[[#This Row],[RegisteredVoters]]</f>
        <v>1.3392857142857142E-2</v>
      </c>
      <c r="M686">
        <f>ABS(Table1[[#This Row],[PartyAVotes]]-Table1[[#This Row],[PartyBVotes]])</f>
        <v>20</v>
      </c>
      <c r="N686" s="11">
        <f>Table1[[#This Row],[TotalVotesCast]]/Table1[[#This Row],[RegisteredVoters]]</f>
        <v>0.9866071428571429</v>
      </c>
      <c r="O686" t="str">
        <f>IF(Table1[[#This Row],[RegisteredVoters]]=Table1[[#This Row],[TotalVotesCast]],"Match","")</f>
        <v/>
      </c>
    </row>
    <row r="687" spans="1:15" ht="13.2">
      <c r="A687" s="1" t="s">
        <v>802</v>
      </c>
      <c r="B687" t="s">
        <v>21</v>
      </c>
      <c r="C687" t="s">
        <v>22</v>
      </c>
      <c r="D687" t="s">
        <v>756</v>
      </c>
      <c r="E687">
        <v>1380</v>
      </c>
      <c r="F687">
        <v>675</v>
      </c>
      <c r="G687">
        <v>645</v>
      </c>
      <c r="H687">
        <v>25</v>
      </c>
      <c r="I687">
        <v>1345</v>
      </c>
      <c r="J687" s="8">
        <f>Table1[[#This Row],[PartyAVotes]]/Table1[[#This Row],[RegisteredVoters]]</f>
        <v>0.4891304347826087</v>
      </c>
      <c r="K687" s="8">
        <f>Table1[[#This Row],[PartyBVotes]]/Table1[[#This Row],[RegisteredVoters]]</f>
        <v>0.46739130434782611</v>
      </c>
      <c r="L687" s="8">
        <f>Table1[[#This Row],[PartyCVotes]]/Table1[[#This Row],[RegisteredVoters]]</f>
        <v>1.8115942028985508E-2</v>
      </c>
      <c r="M687">
        <f>ABS(Table1[[#This Row],[PartyAVotes]]-Table1[[#This Row],[PartyBVotes]])</f>
        <v>30</v>
      </c>
      <c r="N687" s="11">
        <f>Table1[[#This Row],[TotalVotesCast]]/Table1[[#This Row],[RegisteredVoters]]</f>
        <v>0.97463768115942029</v>
      </c>
      <c r="O687" t="str">
        <f>IF(Table1[[#This Row],[RegisteredVoters]]=Table1[[#This Row],[TotalVotesCast]],"Match","")</f>
        <v/>
      </c>
    </row>
    <row r="688" spans="1:15" ht="13.2">
      <c r="A688" s="1" t="s">
        <v>803</v>
      </c>
      <c r="B688" t="s">
        <v>10</v>
      </c>
      <c r="C688" t="s">
        <v>14</v>
      </c>
      <c r="D688" t="s">
        <v>711</v>
      </c>
      <c r="E688">
        <v>820</v>
      </c>
      <c r="F688">
        <v>400</v>
      </c>
      <c r="G688">
        <v>380</v>
      </c>
      <c r="H688">
        <v>15</v>
      </c>
      <c r="I688">
        <v>795</v>
      </c>
      <c r="J688" s="8">
        <f>Table1[[#This Row],[PartyAVotes]]/Table1[[#This Row],[RegisteredVoters]]</f>
        <v>0.48780487804878048</v>
      </c>
      <c r="K688" s="8">
        <f>Table1[[#This Row],[PartyBVotes]]/Table1[[#This Row],[RegisteredVoters]]</f>
        <v>0.46341463414634149</v>
      </c>
      <c r="L688" s="8">
        <f>Table1[[#This Row],[PartyCVotes]]/Table1[[#This Row],[RegisteredVoters]]</f>
        <v>1.8292682926829267E-2</v>
      </c>
      <c r="M688">
        <f>ABS(Table1[[#This Row],[PartyAVotes]]-Table1[[#This Row],[PartyBVotes]])</f>
        <v>20</v>
      </c>
      <c r="N688" s="11">
        <f>Table1[[#This Row],[TotalVotesCast]]/Table1[[#This Row],[RegisteredVoters]]</f>
        <v>0.96951219512195119</v>
      </c>
      <c r="O688" t="str">
        <f>IF(Table1[[#This Row],[RegisteredVoters]]=Table1[[#This Row],[TotalVotesCast]],"Match","")</f>
        <v/>
      </c>
    </row>
    <row r="689" spans="1:15" ht="13.2">
      <c r="A689" s="1" t="s">
        <v>804</v>
      </c>
      <c r="B689" t="s">
        <v>15</v>
      </c>
      <c r="C689" t="s">
        <v>17</v>
      </c>
      <c r="D689" t="s">
        <v>697</v>
      </c>
      <c r="E689">
        <v>870</v>
      </c>
      <c r="F689">
        <v>430</v>
      </c>
      <c r="G689">
        <v>410</v>
      </c>
      <c r="H689">
        <v>15</v>
      </c>
      <c r="I689">
        <v>855</v>
      </c>
      <c r="J689" s="8">
        <f>Table1[[#This Row],[PartyAVotes]]/Table1[[#This Row],[RegisteredVoters]]</f>
        <v>0.4942528735632184</v>
      </c>
      <c r="K689" s="8">
        <f>Table1[[#This Row],[PartyBVotes]]/Table1[[#This Row],[RegisteredVoters]]</f>
        <v>0.47126436781609193</v>
      </c>
      <c r="L689" s="8">
        <f>Table1[[#This Row],[PartyCVotes]]/Table1[[#This Row],[RegisteredVoters]]</f>
        <v>1.7241379310344827E-2</v>
      </c>
      <c r="M689">
        <f>ABS(Table1[[#This Row],[PartyAVotes]]-Table1[[#This Row],[PartyBVotes]])</f>
        <v>20</v>
      </c>
      <c r="N689" s="11">
        <f>Table1[[#This Row],[TotalVotesCast]]/Table1[[#This Row],[RegisteredVoters]]</f>
        <v>0.98275862068965514</v>
      </c>
      <c r="O689" t="str">
        <f>IF(Table1[[#This Row],[RegisteredVoters]]=Table1[[#This Row],[TotalVotesCast]],"Match","")</f>
        <v/>
      </c>
    </row>
    <row r="690" spans="1:15" ht="13.2">
      <c r="A690" s="1" t="s">
        <v>805</v>
      </c>
      <c r="B690" t="s">
        <v>18</v>
      </c>
      <c r="C690" t="s">
        <v>19</v>
      </c>
      <c r="D690" t="s">
        <v>720</v>
      </c>
      <c r="E690">
        <v>1140</v>
      </c>
      <c r="F690">
        <v>565</v>
      </c>
      <c r="G690">
        <v>540</v>
      </c>
      <c r="H690">
        <v>20</v>
      </c>
      <c r="I690">
        <v>1125</v>
      </c>
      <c r="J690" s="8">
        <f>Table1[[#This Row],[PartyAVotes]]/Table1[[#This Row],[RegisteredVoters]]</f>
        <v>0.49561403508771928</v>
      </c>
      <c r="K690" s="8">
        <f>Table1[[#This Row],[PartyBVotes]]/Table1[[#This Row],[RegisteredVoters]]</f>
        <v>0.47368421052631576</v>
      </c>
      <c r="L690" s="8">
        <f>Table1[[#This Row],[PartyCVotes]]/Table1[[#This Row],[RegisteredVoters]]</f>
        <v>1.7543859649122806E-2</v>
      </c>
      <c r="M690">
        <f>ABS(Table1[[#This Row],[PartyAVotes]]-Table1[[#This Row],[PartyBVotes]])</f>
        <v>25</v>
      </c>
      <c r="N690" s="11">
        <f>Table1[[#This Row],[TotalVotesCast]]/Table1[[#This Row],[RegisteredVoters]]</f>
        <v>0.98684210526315785</v>
      </c>
      <c r="O690" t="str">
        <f>IF(Table1[[#This Row],[RegisteredVoters]]=Table1[[#This Row],[TotalVotesCast]],"Match","")</f>
        <v/>
      </c>
    </row>
    <row r="691" spans="1:15" ht="13.2">
      <c r="A691" s="1" t="s">
        <v>806</v>
      </c>
      <c r="B691" t="s">
        <v>21</v>
      </c>
      <c r="C691" t="s">
        <v>23</v>
      </c>
      <c r="D691" t="s">
        <v>706</v>
      </c>
      <c r="E691">
        <v>1200</v>
      </c>
      <c r="F691">
        <v>595</v>
      </c>
      <c r="G691">
        <v>570</v>
      </c>
      <c r="H691">
        <v>20</v>
      </c>
      <c r="I691">
        <v>1185</v>
      </c>
      <c r="J691" s="8">
        <f>Table1[[#This Row],[PartyAVotes]]/Table1[[#This Row],[RegisteredVoters]]</f>
        <v>0.49583333333333335</v>
      </c>
      <c r="K691" s="8">
        <f>Table1[[#This Row],[PartyBVotes]]/Table1[[#This Row],[RegisteredVoters]]</f>
        <v>0.47499999999999998</v>
      </c>
      <c r="L691" s="8">
        <f>Table1[[#This Row],[PartyCVotes]]/Table1[[#This Row],[RegisteredVoters]]</f>
        <v>1.6666666666666666E-2</v>
      </c>
      <c r="M691">
        <f>ABS(Table1[[#This Row],[PartyAVotes]]-Table1[[#This Row],[PartyBVotes]])</f>
        <v>25</v>
      </c>
      <c r="N691" s="11">
        <f>Table1[[#This Row],[TotalVotesCast]]/Table1[[#This Row],[RegisteredVoters]]</f>
        <v>0.98750000000000004</v>
      </c>
      <c r="O691" t="str">
        <f>IF(Table1[[#This Row],[RegisteredVoters]]=Table1[[#This Row],[TotalVotesCast]],"Match","")</f>
        <v/>
      </c>
    </row>
    <row r="692" spans="1:15" ht="13.2">
      <c r="A692" s="1" t="s">
        <v>807</v>
      </c>
      <c r="B692" t="s">
        <v>10</v>
      </c>
      <c r="C692" t="s">
        <v>11</v>
      </c>
      <c r="D692" t="s">
        <v>774</v>
      </c>
      <c r="E692">
        <v>740</v>
      </c>
      <c r="F692">
        <v>360</v>
      </c>
      <c r="G692">
        <v>340</v>
      </c>
      <c r="H692">
        <v>10</v>
      </c>
      <c r="I692">
        <v>710</v>
      </c>
      <c r="J692" s="8">
        <f>Table1[[#This Row],[PartyAVotes]]/Table1[[#This Row],[RegisteredVoters]]</f>
        <v>0.48648648648648651</v>
      </c>
      <c r="K692" s="8">
        <f>Table1[[#This Row],[PartyBVotes]]/Table1[[#This Row],[RegisteredVoters]]</f>
        <v>0.45945945945945948</v>
      </c>
      <c r="L692" s="8">
        <f>Table1[[#This Row],[PartyCVotes]]/Table1[[#This Row],[RegisteredVoters]]</f>
        <v>1.3513513513513514E-2</v>
      </c>
      <c r="M692">
        <f>ABS(Table1[[#This Row],[PartyAVotes]]-Table1[[#This Row],[PartyBVotes]])</f>
        <v>20</v>
      </c>
      <c r="N692" s="11">
        <f>Table1[[#This Row],[TotalVotesCast]]/Table1[[#This Row],[RegisteredVoters]]</f>
        <v>0.95945945945945943</v>
      </c>
      <c r="O692" t="str">
        <f>IF(Table1[[#This Row],[RegisteredVoters]]=Table1[[#This Row],[TotalVotesCast]],"Match","")</f>
        <v/>
      </c>
    </row>
    <row r="693" spans="1:15" ht="13.2">
      <c r="A693" s="1" t="s">
        <v>808</v>
      </c>
      <c r="B693" t="s">
        <v>15</v>
      </c>
      <c r="C693" t="s">
        <v>16</v>
      </c>
      <c r="D693" t="s">
        <v>774</v>
      </c>
      <c r="E693">
        <v>1040</v>
      </c>
      <c r="F693">
        <v>510</v>
      </c>
      <c r="G693">
        <v>490</v>
      </c>
      <c r="H693">
        <v>15</v>
      </c>
      <c r="I693">
        <v>1015</v>
      </c>
      <c r="J693" s="8">
        <f>Table1[[#This Row],[PartyAVotes]]/Table1[[#This Row],[RegisteredVoters]]</f>
        <v>0.49038461538461536</v>
      </c>
      <c r="K693" s="8">
        <f>Table1[[#This Row],[PartyBVotes]]/Table1[[#This Row],[RegisteredVoters]]</f>
        <v>0.47115384615384615</v>
      </c>
      <c r="L693" s="8">
        <f>Table1[[#This Row],[PartyCVotes]]/Table1[[#This Row],[RegisteredVoters]]</f>
        <v>1.4423076923076924E-2</v>
      </c>
      <c r="M693">
        <f>ABS(Table1[[#This Row],[PartyAVotes]]-Table1[[#This Row],[PartyBVotes]])</f>
        <v>20</v>
      </c>
      <c r="N693" s="11">
        <f>Table1[[#This Row],[TotalVotesCast]]/Table1[[#This Row],[RegisteredVoters]]</f>
        <v>0.97596153846153844</v>
      </c>
      <c r="O693" t="str">
        <f>IF(Table1[[#This Row],[RegisteredVoters]]=Table1[[#This Row],[TotalVotesCast]],"Match","")</f>
        <v/>
      </c>
    </row>
    <row r="694" spans="1:15" ht="13.2">
      <c r="A694" s="1" t="s">
        <v>809</v>
      </c>
      <c r="B694" t="s">
        <v>18</v>
      </c>
      <c r="C694" t="s">
        <v>20</v>
      </c>
      <c r="D694" t="s">
        <v>810</v>
      </c>
      <c r="E694">
        <v>1130</v>
      </c>
      <c r="F694">
        <v>560</v>
      </c>
      <c r="G694">
        <v>540</v>
      </c>
      <c r="H694">
        <v>15</v>
      </c>
      <c r="I694">
        <v>1115</v>
      </c>
      <c r="J694" s="8">
        <f>Table1[[#This Row],[PartyAVotes]]/Table1[[#This Row],[RegisteredVoters]]</f>
        <v>0.49557522123893805</v>
      </c>
      <c r="K694" s="8">
        <f>Table1[[#This Row],[PartyBVotes]]/Table1[[#This Row],[RegisteredVoters]]</f>
        <v>0.47787610619469029</v>
      </c>
      <c r="L694" s="8">
        <f>Table1[[#This Row],[PartyCVotes]]/Table1[[#This Row],[RegisteredVoters]]</f>
        <v>1.3274336283185841E-2</v>
      </c>
      <c r="M694">
        <f>ABS(Table1[[#This Row],[PartyAVotes]]-Table1[[#This Row],[PartyBVotes]])</f>
        <v>20</v>
      </c>
      <c r="N694" s="11">
        <f>Table1[[#This Row],[TotalVotesCast]]/Table1[[#This Row],[RegisteredVoters]]</f>
        <v>0.98672566371681414</v>
      </c>
      <c r="O694" t="str">
        <f>IF(Table1[[#This Row],[RegisteredVoters]]=Table1[[#This Row],[TotalVotesCast]],"Match","")</f>
        <v/>
      </c>
    </row>
    <row r="695" spans="1:15" ht="13.2">
      <c r="A695" s="1" t="s">
        <v>811</v>
      </c>
      <c r="B695" t="s">
        <v>21</v>
      </c>
      <c r="C695" t="s">
        <v>22</v>
      </c>
      <c r="D695" t="s">
        <v>765</v>
      </c>
      <c r="E695">
        <v>1390</v>
      </c>
      <c r="F695">
        <v>680</v>
      </c>
      <c r="G695">
        <v>650</v>
      </c>
      <c r="H695">
        <v>25</v>
      </c>
      <c r="I695">
        <v>1355</v>
      </c>
      <c r="J695" s="8">
        <f>Table1[[#This Row],[PartyAVotes]]/Table1[[#This Row],[RegisteredVoters]]</f>
        <v>0.48920863309352519</v>
      </c>
      <c r="K695" s="8">
        <f>Table1[[#This Row],[PartyBVotes]]/Table1[[#This Row],[RegisteredVoters]]</f>
        <v>0.46762589928057552</v>
      </c>
      <c r="L695" s="8">
        <f>Table1[[#This Row],[PartyCVotes]]/Table1[[#This Row],[RegisteredVoters]]</f>
        <v>1.7985611510791366E-2</v>
      </c>
      <c r="M695">
        <f>ABS(Table1[[#This Row],[PartyAVotes]]-Table1[[#This Row],[PartyBVotes]])</f>
        <v>30</v>
      </c>
      <c r="N695" s="11">
        <f>Table1[[#This Row],[TotalVotesCast]]/Table1[[#This Row],[RegisteredVoters]]</f>
        <v>0.97482014388489213</v>
      </c>
      <c r="O695" t="str">
        <f>IF(Table1[[#This Row],[RegisteredVoters]]=Table1[[#This Row],[TotalVotesCast]],"Match","")</f>
        <v/>
      </c>
    </row>
    <row r="696" spans="1:15" ht="13.2">
      <c r="A696" s="1" t="s">
        <v>812</v>
      </c>
      <c r="B696" t="s">
        <v>10</v>
      </c>
      <c r="C696" t="s">
        <v>14</v>
      </c>
      <c r="D696" t="s">
        <v>720</v>
      </c>
      <c r="E696">
        <v>830</v>
      </c>
      <c r="F696">
        <v>405</v>
      </c>
      <c r="G696">
        <v>385</v>
      </c>
      <c r="H696">
        <v>15</v>
      </c>
      <c r="I696">
        <v>805</v>
      </c>
      <c r="J696" s="8">
        <f>Table1[[#This Row],[PartyAVotes]]/Table1[[#This Row],[RegisteredVoters]]</f>
        <v>0.48795180722891568</v>
      </c>
      <c r="K696" s="8">
        <f>Table1[[#This Row],[PartyBVotes]]/Table1[[#This Row],[RegisteredVoters]]</f>
        <v>0.46385542168674698</v>
      </c>
      <c r="L696" s="8">
        <f>Table1[[#This Row],[PartyCVotes]]/Table1[[#This Row],[RegisteredVoters]]</f>
        <v>1.8072289156626505E-2</v>
      </c>
      <c r="M696">
        <f>ABS(Table1[[#This Row],[PartyAVotes]]-Table1[[#This Row],[PartyBVotes]])</f>
        <v>20</v>
      </c>
      <c r="N696" s="11">
        <f>Table1[[#This Row],[TotalVotesCast]]/Table1[[#This Row],[RegisteredVoters]]</f>
        <v>0.96987951807228912</v>
      </c>
      <c r="O696" t="str">
        <f>IF(Table1[[#This Row],[RegisteredVoters]]=Table1[[#This Row],[TotalVotesCast]],"Match","")</f>
        <v/>
      </c>
    </row>
    <row r="697" spans="1:15" ht="13.2">
      <c r="A697" s="1" t="s">
        <v>813</v>
      </c>
      <c r="B697" t="s">
        <v>15</v>
      </c>
      <c r="C697" t="s">
        <v>17</v>
      </c>
      <c r="D697" t="s">
        <v>706</v>
      </c>
      <c r="E697">
        <v>880</v>
      </c>
      <c r="F697">
        <v>435</v>
      </c>
      <c r="G697">
        <v>415</v>
      </c>
      <c r="H697">
        <v>15</v>
      </c>
      <c r="I697">
        <v>865</v>
      </c>
      <c r="J697" s="8">
        <f>Table1[[#This Row],[PartyAVotes]]/Table1[[#This Row],[RegisteredVoters]]</f>
        <v>0.49431818181818182</v>
      </c>
      <c r="K697" s="8">
        <f>Table1[[#This Row],[PartyBVotes]]/Table1[[#This Row],[RegisteredVoters]]</f>
        <v>0.47159090909090912</v>
      </c>
      <c r="L697" s="8">
        <f>Table1[[#This Row],[PartyCVotes]]/Table1[[#This Row],[RegisteredVoters]]</f>
        <v>1.7045454545454544E-2</v>
      </c>
      <c r="M697">
        <f>ABS(Table1[[#This Row],[PartyAVotes]]-Table1[[#This Row],[PartyBVotes]])</f>
        <v>20</v>
      </c>
      <c r="N697" s="11">
        <f>Table1[[#This Row],[TotalVotesCast]]/Table1[[#This Row],[RegisteredVoters]]</f>
        <v>0.98295454545454541</v>
      </c>
      <c r="O697" t="str">
        <f>IF(Table1[[#This Row],[RegisteredVoters]]=Table1[[#This Row],[TotalVotesCast]],"Match","")</f>
        <v/>
      </c>
    </row>
    <row r="698" spans="1:15" ht="13.2">
      <c r="A698" s="1" t="s">
        <v>814</v>
      </c>
      <c r="B698" t="s">
        <v>18</v>
      </c>
      <c r="C698" t="s">
        <v>19</v>
      </c>
      <c r="D698" t="s">
        <v>729</v>
      </c>
      <c r="E698">
        <v>1150</v>
      </c>
      <c r="F698">
        <v>570</v>
      </c>
      <c r="G698">
        <v>545</v>
      </c>
      <c r="H698">
        <v>20</v>
      </c>
      <c r="I698">
        <v>1135</v>
      </c>
      <c r="J698" s="8">
        <f>Table1[[#This Row],[PartyAVotes]]/Table1[[#This Row],[RegisteredVoters]]</f>
        <v>0.4956521739130435</v>
      </c>
      <c r="K698" s="8">
        <f>Table1[[#This Row],[PartyBVotes]]/Table1[[#This Row],[RegisteredVoters]]</f>
        <v>0.47391304347826085</v>
      </c>
      <c r="L698" s="8">
        <f>Table1[[#This Row],[PartyCVotes]]/Table1[[#This Row],[RegisteredVoters]]</f>
        <v>1.7391304347826087E-2</v>
      </c>
      <c r="M698">
        <f>ABS(Table1[[#This Row],[PartyAVotes]]-Table1[[#This Row],[PartyBVotes]])</f>
        <v>25</v>
      </c>
      <c r="N698" s="11">
        <f>Table1[[#This Row],[TotalVotesCast]]/Table1[[#This Row],[RegisteredVoters]]</f>
        <v>0.9869565217391304</v>
      </c>
      <c r="O698" t="str">
        <f>IF(Table1[[#This Row],[RegisteredVoters]]=Table1[[#This Row],[TotalVotesCast]],"Match","")</f>
        <v/>
      </c>
    </row>
    <row r="699" spans="1:15" ht="13.2">
      <c r="A699" s="1" t="s">
        <v>815</v>
      </c>
      <c r="B699" t="s">
        <v>21</v>
      </c>
      <c r="C699" t="s">
        <v>23</v>
      </c>
      <c r="D699" t="s">
        <v>711</v>
      </c>
      <c r="E699">
        <v>1210</v>
      </c>
      <c r="F699">
        <v>600</v>
      </c>
      <c r="G699">
        <v>575</v>
      </c>
      <c r="H699">
        <v>20</v>
      </c>
      <c r="I699">
        <v>1195</v>
      </c>
      <c r="J699" s="8">
        <f>Table1[[#This Row],[PartyAVotes]]/Table1[[#This Row],[RegisteredVoters]]</f>
        <v>0.49586776859504134</v>
      </c>
      <c r="K699" s="8">
        <f>Table1[[#This Row],[PartyBVotes]]/Table1[[#This Row],[RegisteredVoters]]</f>
        <v>0.47520661157024796</v>
      </c>
      <c r="L699" s="8">
        <f>Table1[[#This Row],[PartyCVotes]]/Table1[[#This Row],[RegisteredVoters]]</f>
        <v>1.6528925619834711E-2</v>
      </c>
      <c r="M699">
        <f>ABS(Table1[[#This Row],[PartyAVotes]]-Table1[[#This Row],[PartyBVotes]])</f>
        <v>25</v>
      </c>
      <c r="N699" s="11">
        <f>Table1[[#This Row],[TotalVotesCast]]/Table1[[#This Row],[RegisteredVoters]]</f>
        <v>0.98760330578512401</v>
      </c>
      <c r="O699" t="str">
        <f>IF(Table1[[#This Row],[RegisteredVoters]]=Table1[[#This Row],[TotalVotesCast]],"Match","")</f>
        <v/>
      </c>
    </row>
    <row r="700" spans="1:15" ht="13.2">
      <c r="A700" s="1" t="s">
        <v>816</v>
      </c>
      <c r="B700" t="s">
        <v>10</v>
      </c>
      <c r="C700" t="s">
        <v>11</v>
      </c>
      <c r="D700" t="s">
        <v>783</v>
      </c>
      <c r="E700">
        <v>750</v>
      </c>
      <c r="F700">
        <v>365</v>
      </c>
      <c r="G700">
        <v>345</v>
      </c>
      <c r="H700">
        <v>10</v>
      </c>
      <c r="I700">
        <v>720</v>
      </c>
      <c r="J700" s="8">
        <f>Table1[[#This Row],[PartyAVotes]]/Table1[[#This Row],[RegisteredVoters]]</f>
        <v>0.48666666666666669</v>
      </c>
      <c r="K700" s="8">
        <f>Table1[[#This Row],[PartyBVotes]]/Table1[[#This Row],[RegisteredVoters]]</f>
        <v>0.46</v>
      </c>
      <c r="L700" s="8">
        <f>Table1[[#This Row],[PartyCVotes]]/Table1[[#This Row],[RegisteredVoters]]</f>
        <v>1.3333333333333334E-2</v>
      </c>
      <c r="M700">
        <f>ABS(Table1[[#This Row],[PartyAVotes]]-Table1[[#This Row],[PartyBVotes]])</f>
        <v>20</v>
      </c>
      <c r="N700" s="11">
        <f>Table1[[#This Row],[TotalVotesCast]]/Table1[[#This Row],[RegisteredVoters]]</f>
        <v>0.96</v>
      </c>
      <c r="O700" t="str">
        <f>IF(Table1[[#This Row],[RegisteredVoters]]=Table1[[#This Row],[TotalVotesCast]],"Match","")</f>
        <v/>
      </c>
    </row>
    <row r="701" spans="1:15" ht="13.2">
      <c r="A701" s="1" t="s">
        <v>817</v>
      </c>
      <c r="B701" t="s">
        <v>15</v>
      </c>
      <c r="C701" t="s">
        <v>16</v>
      </c>
      <c r="D701" t="s">
        <v>783</v>
      </c>
      <c r="E701">
        <v>1050</v>
      </c>
      <c r="F701">
        <v>515</v>
      </c>
      <c r="G701">
        <v>495</v>
      </c>
      <c r="H701">
        <v>15</v>
      </c>
      <c r="I701">
        <v>1025</v>
      </c>
      <c r="J701" s="8">
        <f>Table1[[#This Row],[PartyAVotes]]/Table1[[#This Row],[RegisteredVoters]]</f>
        <v>0.49047619047619045</v>
      </c>
      <c r="K701" s="8">
        <f>Table1[[#This Row],[PartyBVotes]]/Table1[[#This Row],[RegisteredVoters]]</f>
        <v>0.47142857142857142</v>
      </c>
      <c r="L701" s="8">
        <f>Table1[[#This Row],[PartyCVotes]]/Table1[[#This Row],[RegisteredVoters]]</f>
        <v>1.4285714285714285E-2</v>
      </c>
      <c r="M701">
        <f>ABS(Table1[[#This Row],[PartyAVotes]]-Table1[[#This Row],[PartyBVotes]])</f>
        <v>20</v>
      </c>
      <c r="N701" s="11">
        <f>Table1[[#This Row],[TotalVotesCast]]/Table1[[#This Row],[RegisteredVoters]]</f>
        <v>0.97619047619047616</v>
      </c>
      <c r="O701" t="str">
        <f>IF(Table1[[#This Row],[RegisteredVoters]]=Table1[[#This Row],[TotalVotesCast]],"Match","")</f>
        <v/>
      </c>
    </row>
    <row r="702" spans="1:15" ht="13.2">
      <c r="A702" s="1" t="s">
        <v>818</v>
      </c>
      <c r="B702" t="s">
        <v>18</v>
      </c>
      <c r="C702" t="s">
        <v>20</v>
      </c>
      <c r="D702" t="s">
        <v>819</v>
      </c>
      <c r="E702">
        <v>1140</v>
      </c>
      <c r="F702">
        <v>565</v>
      </c>
      <c r="G702">
        <v>545</v>
      </c>
      <c r="H702">
        <v>15</v>
      </c>
      <c r="I702">
        <v>1125</v>
      </c>
      <c r="J702" s="8">
        <f>Table1[[#This Row],[PartyAVotes]]/Table1[[#This Row],[RegisteredVoters]]</f>
        <v>0.49561403508771928</v>
      </c>
      <c r="K702" s="8">
        <f>Table1[[#This Row],[PartyBVotes]]/Table1[[#This Row],[RegisteredVoters]]</f>
        <v>0.47807017543859648</v>
      </c>
      <c r="L702" s="8">
        <f>Table1[[#This Row],[PartyCVotes]]/Table1[[#This Row],[RegisteredVoters]]</f>
        <v>1.3157894736842105E-2</v>
      </c>
      <c r="M702">
        <f>ABS(Table1[[#This Row],[PartyAVotes]]-Table1[[#This Row],[PartyBVotes]])</f>
        <v>20</v>
      </c>
      <c r="N702" s="11">
        <f>Table1[[#This Row],[TotalVotesCast]]/Table1[[#This Row],[RegisteredVoters]]</f>
        <v>0.98684210526315785</v>
      </c>
      <c r="O702" t="str">
        <f>IF(Table1[[#This Row],[RegisteredVoters]]=Table1[[#This Row],[TotalVotesCast]],"Match","")</f>
        <v/>
      </c>
    </row>
    <row r="703" spans="1:15" ht="13.2">
      <c r="A703" s="1" t="s">
        <v>820</v>
      </c>
      <c r="B703" t="s">
        <v>21</v>
      </c>
      <c r="C703" t="s">
        <v>22</v>
      </c>
      <c r="D703" t="s">
        <v>774</v>
      </c>
      <c r="E703">
        <v>1400</v>
      </c>
      <c r="F703">
        <v>685</v>
      </c>
      <c r="G703">
        <v>655</v>
      </c>
      <c r="H703">
        <v>25</v>
      </c>
      <c r="I703">
        <v>1365</v>
      </c>
      <c r="J703" s="8">
        <f>Table1[[#This Row],[PartyAVotes]]/Table1[[#This Row],[RegisteredVoters]]</f>
        <v>0.48928571428571427</v>
      </c>
      <c r="K703" s="8">
        <f>Table1[[#This Row],[PartyBVotes]]/Table1[[#This Row],[RegisteredVoters]]</f>
        <v>0.46785714285714286</v>
      </c>
      <c r="L703" s="8">
        <f>Table1[[#This Row],[PartyCVotes]]/Table1[[#This Row],[RegisteredVoters]]</f>
        <v>1.7857142857142856E-2</v>
      </c>
      <c r="M703">
        <f>ABS(Table1[[#This Row],[PartyAVotes]]-Table1[[#This Row],[PartyBVotes]])</f>
        <v>30</v>
      </c>
      <c r="N703" s="11">
        <f>Table1[[#This Row],[TotalVotesCast]]/Table1[[#This Row],[RegisteredVoters]]</f>
        <v>0.97499999999999998</v>
      </c>
      <c r="O703" t="str">
        <f>IF(Table1[[#This Row],[RegisteredVoters]]=Table1[[#This Row],[TotalVotesCast]],"Match","")</f>
        <v/>
      </c>
    </row>
    <row r="704" spans="1:15" ht="13.2">
      <c r="A704" s="1" t="s">
        <v>821</v>
      </c>
      <c r="B704" t="s">
        <v>10</v>
      </c>
      <c r="C704" t="s">
        <v>14</v>
      </c>
      <c r="D704" t="s">
        <v>729</v>
      </c>
      <c r="E704">
        <v>840</v>
      </c>
      <c r="F704">
        <v>410</v>
      </c>
      <c r="G704">
        <v>390</v>
      </c>
      <c r="H704">
        <v>15</v>
      </c>
      <c r="I704">
        <v>815</v>
      </c>
      <c r="J704" s="8">
        <f>Table1[[#This Row],[PartyAVotes]]/Table1[[#This Row],[RegisteredVoters]]</f>
        <v>0.48809523809523808</v>
      </c>
      <c r="K704" s="8">
        <f>Table1[[#This Row],[PartyBVotes]]/Table1[[#This Row],[RegisteredVoters]]</f>
        <v>0.4642857142857143</v>
      </c>
      <c r="L704" s="8">
        <f>Table1[[#This Row],[PartyCVotes]]/Table1[[#This Row],[RegisteredVoters]]</f>
        <v>1.7857142857142856E-2</v>
      </c>
      <c r="M704">
        <f>ABS(Table1[[#This Row],[PartyAVotes]]-Table1[[#This Row],[PartyBVotes]])</f>
        <v>20</v>
      </c>
      <c r="N704" s="11">
        <f>Table1[[#This Row],[TotalVotesCast]]/Table1[[#This Row],[RegisteredVoters]]</f>
        <v>0.97023809523809523</v>
      </c>
      <c r="O704" t="str">
        <f>IF(Table1[[#This Row],[RegisteredVoters]]=Table1[[#This Row],[TotalVotesCast]],"Match","")</f>
        <v/>
      </c>
    </row>
    <row r="705" spans="1:15" ht="13.2">
      <c r="A705" s="1" t="s">
        <v>822</v>
      </c>
      <c r="B705" t="s">
        <v>15</v>
      </c>
      <c r="C705" t="s">
        <v>17</v>
      </c>
      <c r="D705" t="s">
        <v>711</v>
      </c>
      <c r="E705">
        <v>890</v>
      </c>
      <c r="F705">
        <v>440</v>
      </c>
      <c r="G705">
        <v>420</v>
      </c>
      <c r="H705">
        <v>15</v>
      </c>
      <c r="I705">
        <v>875</v>
      </c>
      <c r="J705" s="8">
        <f>Table1[[#This Row],[PartyAVotes]]/Table1[[#This Row],[RegisteredVoters]]</f>
        <v>0.4943820224719101</v>
      </c>
      <c r="K705" s="8">
        <f>Table1[[#This Row],[PartyBVotes]]/Table1[[#This Row],[RegisteredVoters]]</f>
        <v>0.47191011235955055</v>
      </c>
      <c r="L705" s="8">
        <f>Table1[[#This Row],[PartyCVotes]]/Table1[[#This Row],[RegisteredVoters]]</f>
        <v>1.6853932584269662E-2</v>
      </c>
      <c r="M705">
        <f>ABS(Table1[[#This Row],[PartyAVotes]]-Table1[[#This Row],[PartyBVotes]])</f>
        <v>20</v>
      </c>
      <c r="N705" s="11">
        <f>Table1[[#This Row],[TotalVotesCast]]/Table1[[#This Row],[RegisteredVoters]]</f>
        <v>0.9831460674157303</v>
      </c>
      <c r="O705" t="str">
        <f>IF(Table1[[#This Row],[RegisteredVoters]]=Table1[[#This Row],[TotalVotesCast]],"Match","")</f>
        <v/>
      </c>
    </row>
    <row r="706" spans="1:15" ht="13.2">
      <c r="A706" s="1" t="s">
        <v>823</v>
      </c>
      <c r="B706" t="s">
        <v>18</v>
      </c>
      <c r="C706" t="s">
        <v>19</v>
      </c>
      <c r="D706" t="s">
        <v>738</v>
      </c>
      <c r="E706">
        <v>1160</v>
      </c>
      <c r="F706">
        <v>575</v>
      </c>
      <c r="G706">
        <v>550</v>
      </c>
      <c r="H706">
        <v>20</v>
      </c>
      <c r="I706">
        <v>1145</v>
      </c>
      <c r="J706" s="8">
        <f>Table1[[#This Row],[PartyAVotes]]/Table1[[#This Row],[RegisteredVoters]]</f>
        <v>0.49568965517241381</v>
      </c>
      <c r="K706" s="8">
        <f>Table1[[#This Row],[PartyBVotes]]/Table1[[#This Row],[RegisteredVoters]]</f>
        <v>0.47413793103448276</v>
      </c>
      <c r="L706" s="8">
        <f>Table1[[#This Row],[PartyCVotes]]/Table1[[#This Row],[RegisteredVoters]]</f>
        <v>1.7241379310344827E-2</v>
      </c>
      <c r="M706">
        <f>ABS(Table1[[#This Row],[PartyAVotes]]-Table1[[#This Row],[PartyBVotes]])</f>
        <v>25</v>
      </c>
      <c r="N706" s="11">
        <f>Table1[[#This Row],[TotalVotesCast]]/Table1[[#This Row],[RegisteredVoters]]</f>
        <v>0.98706896551724133</v>
      </c>
      <c r="O706" t="str">
        <f>IF(Table1[[#This Row],[RegisteredVoters]]=Table1[[#This Row],[TotalVotesCast]],"Match","")</f>
        <v/>
      </c>
    </row>
    <row r="707" spans="1:15" ht="13.2">
      <c r="A707" s="1" t="s">
        <v>824</v>
      </c>
      <c r="B707" t="s">
        <v>21</v>
      </c>
      <c r="C707" t="s">
        <v>23</v>
      </c>
      <c r="D707" t="s">
        <v>720</v>
      </c>
      <c r="E707">
        <v>1220</v>
      </c>
      <c r="F707">
        <v>605</v>
      </c>
      <c r="G707">
        <v>580</v>
      </c>
      <c r="H707">
        <v>20</v>
      </c>
      <c r="I707">
        <v>1205</v>
      </c>
      <c r="J707" s="8">
        <f>Table1[[#This Row],[PartyAVotes]]/Table1[[#This Row],[RegisteredVoters]]</f>
        <v>0.49590163934426229</v>
      </c>
      <c r="K707" s="8">
        <f>Table1[[#This Row],[PartyBVotes]]/Table1[[#This Row],[RegisteredVoters]]</f>
        <v>0.47540983606557374</v>
      </c>
      <c r="L707" s="8">
        <f>Table1[[#This Row],[PartyCVotes]]/Table1[[#This Row],[RegisteredVoters]]</f>
        <v>1.6393442622950821E-2</v>
      </c>
      <c r="M707">
        <f>ABS(Table1[[#This Row],[PartyAVotes]]-Table1[[#This Row],[PartyBVotes]])</f>
        <v>25</v>
      </c>
      <c r="N707" s="11">
        <f>Table1[[#This Row],[TotalVotesCast]]/Table1[[#This Row],[RegisteredVoters]]</f>
        <v>0.98770491803278693</v>
      </c>
      <c r="O707" t="str">
        <f>IF(Table1[[#This Row],[RegisteredVoters]]=Table1[[#This Row],[TotalVotesCast]],"Match","")</f>
        <v/>
      </c>
    </row>
    <row r="708" spans="1:15" ht="13.2">
      <c r="A708" s="1" t="s">
        <v>825</v>
      </c>
      <c r="B708" t="s">
        <v>10</v>
      </c>
      <c r="C708" t="s">
        <v>11</v>
      </c>
      <c r="D708" t="s">
        <v>792</v>
      </c>
      <c r="E708">
        <v>760</v>
      </c>
      <c r="F708">
        <v>370</v>
      </c>
      <c r="G708">
        <v>350</v>
      </c>
      <c r="H708">
        <v>10</v>
      </c>
      <c r="I708">
        <v>730</v>
      </c>
      <c r="J708" s="8">
        <f>Table1[[#This Row],[PartyAVotes]]/Table1[[#This Row],[RegisteredVoters]]</f>
        <v>0.48684210526315791</v>
      </c>
      <c r="K708" s="8">
        <f>Table1[[#This Row],[PartyBVotes]]/Table1[[#This Row],[RegisteredVoters]]</f>
        <v>0.46052631578947367</v>
      </c>
      <c r="L708" s="8">
        <f>Table1[[#This Row],[PartyCVotes]]/Table1[[#This Row],[RegisteredVoters]]</f>
        <v>1.3157894736842105E-2</v>
      </c>
      <c r="M708">
        <f>ABS(Table1[[#This Row],[PartyAVotes]]-Table1[[#This Row],[PartyBVotes]])</f>
        <v>20</v>
      </c>
      <c r="N708" s="11">
        <f>Table1[[#This Row],[TotalVotesCast]]/Table1[[#This Row],[RegisteredVoters]]</f>
        <v>0.96052631578947367</v>
      </c>
      <c r="O708" t="str">
        <f>IF(Table1[[#This Row],[RegisteredVoters]]=Table1[[#This Row],[TotalVotesCast]],"Match","")</f>
        <v/>
      </c>
    </row>
    <row r="709" spans="1:15" ht="13.2">
      <c r="A709" s="1" t="s">
        <v>826</v>
      </c>
      <c r="B709" t="s">
        <v>15</v>
      </c>
      <c r="C709" t="s">
        <v>16</v>
      </c>
      <c r="D709" t="s">
        <v>792</v>
      </c>
      <c r="E709">
        <v>1060</v>
      </c>
      <c r="F709">
        <v>520</v>
      </c>
      <c r="G709">
        <v>500</v>
      </c>
      <c r="H709">
        <v>15</v>
      </c>
      <c r="I709">
        <v>1035</v>
      </c>
      <c r="J709" s="8">
        <f>Table1[[#This Row],[PartyAVotes]]/Table1[[#This Row],[RegisteredVoters]]</f>
        <v>0.49056603773584906</v>
      </c>
      <c r="K709" s="8">
        <f>Table1[[#This Row],[PartyBVotes]]/Table1[[#This Row],[RegisteredVoters]]</f>
        <v>0.47169811320754718</v>
      </c>
      <c r="L709" s="8">
        <f>Table1[[#This Row],[PartyCVotes]]/Table1[[#This Row],[RegisteredVoters]]</f>
        <v>1.4150943396226415E-2</v>
      </c>
      <c r="M709">
        <f>ABS(Table1[[#This Row],[PartyAVotes]]-Table1[[#This Row],[PartyBVotes]])</f>
        <v>20</v>
      </c>
      <c r="N709" s="11">
        <f>Table1[[#This Row],[TotalVotesCast]]/Table1[[#This Row],[RegisteredVoters]]</f>
        <v>0.97641509433962259</v>
      </c>
      <c r="O709" t="str">
        <f>IF(Table1[[#This Row],[RegisteredVoters]]=Table1[[#This Row],[TotalVotesCast]],"Match","")</f>
        <v/>
      </c>
    </row>
    <row r="710" spans="1:15" ht="13.2">
      <c r="A710" s="1" t="s">
        <v>827</v>
      </c>
      <c r="B710" t="s">
        <v>18</v>
      </c>
      <c r="C710" t="s">
        <v>20</v>
      </c>
      <c r="D710" t="s">
        <v>828</v>
      </c>
      <c r="E710">
        <v>1150</v>
      </c>
      <c r="F710">
        <v>570</v>
      </c>
      <c r="G710">
        <v>550</v>
      </c>
      <c r="H710">
        <v>15</v>
      </c>
      <c r="I710">
        <v>1135</v>
      </c>
      <c r="J710" s="8">
        <f>Table1[[#This Row],[PartyAVotes]]/Table1[[#This Row],[RegisteredVoters]]</f>
        <v>0.4956521739130435</v>
      </c>
      <c r="K710" s="8">
        <f>Table1[[#This Row],[PartyBVotes]]/Table1[[#This Row],[RegisteredVoters]]</f>
        <v>0.47826086956521741</v>
      </c>
      <c r="L710" s="8">
        <f>Table1[[#This Row],[PartyCVotes]]/Table1[[#This Row],[RegisteredVoters]]</f>
        <v>1.3043478260869565E-2</v>
      </c>
      <c r="M710">
        <f>ABS(Table1[[#This Row],[PartyAVotes]]-Table1[[#This Row],[PartyBVotes]])</f>
        <v>20</v>
      </c>
      <c r="N710" s="11">
        <f>Table1[[#This Row],[TotalVotesCast]]/Table1[[#This Row],[RegisteredVoters]]</f>
        <v>0.9869565217391304</v>
      </c>
      <c r="O710" t="str">
        <f>IF(Table1[[#This Row],[RegisteredVoters]]=Table1[[#This Row],[TotalVotesCast]],"Match","")</f>
        <v/>
      </c>
    </row>
    <row r="711" spans="1:15" ht="13.2">
      <c r="A711" s="1" t="s">
        <v>829</v>
      </c>
      <c r="B711" t="s">
        <v>21</v>
      </c>
      <c r="C711" t="s">
        <v>22</v>
      </c>
      <c r="D711" t="s">
        <v>783</v>
      </c>
      <c r="E711">
        <v>1410</v>
      </c>
      <c r="F711">
        <v>690</v>
      </c>
      <c r="G711">
        <v>660</v>
      </c>
      <c r="H711">
        <v>25</v>
      </c>
      <c r="I711">
        <v>1375</v>
      </c>
      <c r="J711" s="8">
        <f>Table1[[#This Row],[PartyAVotes]]/Table1[[#This Row],[RegisteredVoters]]</f>
        <v>0.48936170212765956</v>
      </c>
      <c r="K711" s="8">
        <f>Table1[[#This Row],[PartyBVotes]]/Table1[[#This Row],[RegisteredVoters]]</f>
        <v>0.46808510638297873</v>
      </c>
      <c r="L711" s="8">
        <f>Table1[[#This Row],[PartyCVotes]]/Table1[[#This Row],[RegisteredVoters]]</f>
        <v>1.7730496453900711E-2</v>
      </c>
      <c r="M711">
        <f>ABS(Table1[[#This Row],[PartyAVotes]]-Table1[[#This Row],[PartyBVotes]])</f>
        <v>30</v>
      </c>
      <c r="N711" s="11">
        <f>Table1[[#This Row],[TotalVotesCast]]/Table1[[#This Row],[RegisteredVoters]]</f>
        <v>0.97517730496453903</v>
      </c>
      <c r="O711" t="str">
        <f>IF(Table1[[#This Row],[RegisteredVoters]]=Table1[[#This Row],[TotalVotesCast]],"Match","")</f>
        <v/>
      </c>
    </row>
    <row r="712" spans="1:15" ht="13.2">
      <c r="A712" s="1" t="s">
        <v>830</v>
      </c>
      <c r="B712" t="s">
        <v>10</v>
      </c>
      <c r="C712" t="s">
        <v>14</v>
      </c>
      <c r="D712" t="s">
        <v>738</v>
      </c>
      <c r="E712">
        <v>850</v>
      </c>
      <c r="F712">
        <v>415</v>
      </c>
      <c r="G712">
        <v>395</v>
      </c>
      <c r="H712">
        <v>15</v>
      </c>
      <c r="I712">
        <v>825</v>
      </c>
      <c r="J712" s="8">
        <f>Table1[[#This Row],[PartyAVotes]]/Table1[[#This Row],[RegisteredVoters]]</f>
        <v>0.48823529411764705</v>
      </c>
      <c r="K712" s="8">
        <f>Table1[[#This Row],[PartyBVotes]]/Table1[[#This Row],[RegisteredVoters]]</f>
        <v>0.46470588235294119</v>
      </c>
      <c r="L712" s="8">
        <f>Table1[[#This Row],[PartyCVotes]]/Table1[[#This Row],[RegisteredVoters]]</f>
        <v>1.7647058823529412E-2</v>
      </c>
      <c r="M712">
        <f>ABS(Table1[[#This Row],[PartyAVotes]]-Table1[[#This Row],[PartyBVotes]])</f>
        <v>20</v>
      </c>
      <c r="N712" s="11">
        <f>Table1[[#This Row],[TotalVotesCast]]/Table1[[#This Row],[RegisteredVoters]]</f>
        <v>0.97058823529411764</v>
      </c>
      <c r="O712" t="str">
        <f>IF(Table1[[#This Row],[RegisteredVoters]]=Table1[[#This Row],[TotalVotesCast]],"Match","")</f>
        <v/>
      </c>
    </row>
    <row r="713" spans="1:15" ht="13.2">
      <c r="A713" s="1" t="s">
        <v>831</v>
      </c>
      <c r="B713" t="s">
        <v>15</v>
      </c>
      <c r="C713" t="s">
        <v>17</v>
      </c>
      <c r="D713" t="s">
        <v>720</v>
      </c>
      <c r="E713">
        <v>900</v>
      </c>
      <c r="F713">
        <v>445</v>
      </c>
      <c r="G713">
        <v>425</v>
      </c>
      <c r="H713">
        <v>15</v>
      </c>
      <c r="I713">
        <v>885</v>
      </c>
      <c r="J713" s="8">
        <f>Table1[[#This Row],[PartyAVotes]]/Table1[[#This Row],[RegisteredVoters]]</f>
        <v>0.49444444444444446</v>
      </c>
      <c r="K713" s="8">
        <f>Table1[[#This Row],[PartyBVotes]]/Table1[[#This Row],[RegisteredVoters]]</f>
        <v>0.47222222222222221</v>
      </c>
      <c r="L713" s="8">
        <f>Table1[[#This Row],[PartyCVotes]]/Table1[[#This Row],[RegisteredVoters]]</f>
        <v>1.6666666666666666E-2</v>
      </c>
      <c r="M713">
        <f>ABS(Table1[[#This Row],[PartyAVotes]]-Table1[[#This Row],[PartyBVotes]])</f>
        <v>20</v>
      </c>
      <c r="N713" s="11">
        <f>Table1[[#This Row],[TotalVotesCast]]/Table1[[#This Row],[RegisteredVoters]]</f>
        <v>0.98333333333333328</v>
      </c>
      <c r="O713" t="str">
        <f>IF(Table1[[#This Row],[RegisteredVoters]]=Table1[[#This Row],[TotalVotesCast]],"Match","")</f>
        <v/>
      </c>
    </row>
    <row r="714" spans="1:15" ht="13.2">
      <c r="A714" s="1" t="s">
        <v>832</v>
      </c>
      <c r="B714" t="s">
        <v>18</v>
      </c>
      <c r="C714" t="s">
        <v>19</v>
      </c>
      <c r="D714" t="s">
        <v>747</v>
      </c>
      <c r="E714">
        <v>1170</v>
      </c>
      <c r="F714">
        <v>580</v>
      </c>
      <c r="G714">
        <v>555</v>
      </c>
      <c r="H714">
        <v>20</v>
      </c>
      <c r="I714">
        <v>1155</v>
      </c>
      <c r="J714" s="8">
        <f>Table1[[#This Row],[PartyAVotes]]/Table1[[#This Row],[RegisteredVoters]]</f>
        <v>0.49572649572649574</v>
      </c>
      <c r="K714" s="8">
        <f>Table1[[#This Row],[PartyBVotes]]/Table1[[#This Row],[RegisteredVoters]]</f>
        <v>0.47435897435897434</v>
      </c>
      <c r="L714" s="8">
        <f>Table1[[#This Row],[PartyCVotes]]/Table1[[#This Row],[RegisteredVoters]]</f>
        <v>1.7094017094017096E-2</v>
      </c>
      <c r="M714">
        <f>ABS(Table1[[#This Row],[PartyAVotes]]-Table1[[#This Row],[PartyBVotes]])</f>
        <v>25</v>
      </c>
      <c r="N714" s="11">
        <f>Table1[[#This Row],[TotalVotesCast]]/Table1[[#This Row],[RegisteredVoters]]</f>
        <v>0.98717948717948723</v>
      </c>
      <c r="O714" t="str">
        <f>IF(Table1[[#This Row],[RegisteredVoters]]=Table1[[#This Row],[TotalVotesCast]],"Match","")</f>
        <v/>
      </c>
    </row>
    <row r="715" spans="1:15" ht="13.2">
      <c r="A715" s="1" t="s">
        <v>833</v>
      </c>
      <c r="B715" t="s">
        <v>21</v>
      </c>
      <c r="C715" t="s">
        <v>23</v>
      </c>
      <c r="D715" t="s">
        <v>729</v>
      </c>
      <c r="E715">
        <v>1230</v>
      </c>
      <c r="F715">
        <v>610</v>
      </c>
      <c r="G715">
        <v>585</v>
      </c>
      <c r="H715">
        <v>20</v>
      </c>
      <c r="I715">
        <v>1215</v>
      </c>
      <c r="J715" s="8">
        <f>Table1[[#This Row],[PartyAVotes]]/Table1[[#This Row],[RegisteredVoters]]</f>
        <v>0.49593495934959347</v>
      </c>
      <c r="K715" s="8">
        <f>Table1[[#This Row],[PartyBVotes]]/Table1[[#This Row],[RegisteredVoters]]</f>
        <v>0.47560975609756095</v>
      </c>
      <c r="L715" s="8">
        <f>Table1[[#This Row],[PartyCVotes]]/Table1[[#This Row],[RegisteredVoters]]</f>
        <v>1.6260162601626018E-2</v>
      </c>
      <c r="M715">
        <f>ABS(Table1[[#This Row],[PartyAVotes]]-Table1[[#This Row],[PartyBVotes]])</f>
        <v>25</v>
      </c>
      <c r="N715" s="11">
        <f>Table1[[#This Row],[TotalVotesCast]]/Table1[[#This Row],[RegisteredVoters]]</f>
        <v>0.98780487804878048</v>
      </c>
      <c r="O715" t="str">
        <f>IF(Table1[[#This Row],[RegisteredVoters]]=Table1[[#This Row],[TotalVotesCast]],"Match","")</f>
        <v/>
      </c>
    </row>
    <row r="716" spans="1:15" ht="13.2">
      <c r="A716" s="1" t="s">
        <v>834</v>
      </c>
      <c r="B716" t="s">
        <v>10</v>
      </c>
      <c r="C716" t="s">
        <v>11</v>
      </c>
      <c r="D716" t="s">
        <v>801</v>
      </c>
      <c r="E716">
        <v>770</v>
      </c>
      <c r="F716">
        <v>375</v>
      </c>
      <c r="G716">
        <v>355</v>
      </c>
      <c r="H716">
        <v>10</v>
      </c>
      <c r="I716">
        <v>740</v>
      </c>
      <c r="J716" s="8">
        <f>Table1[[#This Row],[PartyAVotes]]/Table1[[#This Row],[RegisteredVoters]]</f>
        <v>0.48701298701298701</v>
      </c>
      <c r="K716" s="8">
        <f>Table1[[#This Row],[PartyBVotes]]/Table1[[#This Row],[RegisteredVoters]]</f>
        <v>0.46103896103896103</v>
      </c>
      <c r="L716" s="8">
        <f>Table1[[#This Row],[PartyCVotes]]/Table1[[#This Row],[RegisteredVoters]]</f>
        <v>1.2987012987012988E-2</v>
      </c>
      <c r="M716">
        <f>ABS(Table1[[#This Row],[PartyAVotes]]-Table1[[#This Row],[PartyBVotes]])</f>
        <v>20</v>
      </c>
      <c r="N716" s="11">
        <f>Table1[[#This Row],[TotalVotesCast]]/Table1[[#This Row],[RegisteredVoters]]</f>
        <v>0.96103896103896103</v>
      </c>
      <c r="O716" t="str">
        <f>IF(Table1[[#This Row],[RegisteredVoters]]=Table1[[#This Row],[TotalVotesCast]],"Match","")</f>
        <v/>
      </c>
    </row>
    <row r="717" spans="1:15" ht="13.2">
      <c r="A717" s="1" t="s">
        <v>835</v>
      </c>
      <c r="B717" t="s">
        <v>15</v>
      </c>
      <c r="C717" t="s">
        <v>16</v>
      </c>
      <c r="D717" t="s">
        <v>801</v>
      </c>
      <c r="E717">
        <v>1070</v>
      </c>
      <c r="F717">
        <v>525</v>
      </c>
      <c r="G717">
        <v>505</v>
      </c>
      <c r="H717">
        <v>15</v>
      </c>
      <c r="I717">
        <v>1045</v>
      </c>
      <c r="J717" s="8">
        <f>Table1[[#This Row],[PartyAVotes]]/Table1[[#This Row],[RegisteredVoters]]</f>
        <v>0.49065420560747663</v>
      </c>
      <c r="K717" s="8">
        <f>Table1[[#This Row],[PartyBVotes]]/Table1[[#This Row],[RegisteredVoters]]</f>
        <v>0.4719626168224299</v>
      </c>
      <c r="L717" s="8">
        <f>Table1[[#This Row],[PartyCVotes]]/Table1[[#This Row],[RegisteredVoters]]</f>
        <v>1.4018691588785047E-2</v>
      </c>
      <c r="M717">
        <f>ABS(Table1[[#This Row],[PartyAVotes]]-Table1[[#This Row],[PartyBVotes]])</f>
        <v>20</v>
      </c>
      <c r="N717" s="11">
        <f>Table1[[#This Row],[TotalVotesCast]]/Table1[[#This Row],[RegisteredVoters]]</f>
        <v>0.97663551401869164</v>
      </c>
      <c r="O717" t="str">
        <f>IF(Table1[[#This Row],[RegisteredVoters]]=Table1[[#This Row],[TotalVotesCast]],"Match","")</f>
        <v/>
      </c>
    </row>
    <row r="718" spans="1:15" ht="13.2">
      <c r="A718" s="1" t="s">
        <v>836</v>
      </c>
      <c r="B718" t="s">
        <v>18</v>
      </c>
      <c r="C718" t="s">
        <v>20</v>
      </c>
      <c r="D718" t="s">
        <v>837</v>
      </c>
      <c r="E718">
        <v>1160</v>
      </c>
      <c r="F718">
        <v>575</v>
      </c>
      <c r="G718">
        <v>555</v>
      </c>
      <c r="H718">
        <v>15</v>
      </c>
      <c r="I718">
        <v>1145</v>
      </c>
      <c r="J718" s="8">
        <f>Table1[[#This Row],[PartyAVotes]]/Table1[[#This Row],[RegisteredVoters]]</f>
        <v>0.49568965517241381</v>
      </c>
      <c r="K718" s="8">
        <f>Table1[[#This Row],[PartyBVotes]]/Table1[[#This Row],[RegisteredVoters]]</f>
        <v>0.47844827586206895</v>
      </c>
      <c r="L718" s="8">
        <f>Table1[[#This Row],[PartyCVotes]]/Table1[[#This Row],[RegisteredVoters]]</f>
        <v>1.2931034482758621E-2</v>
      </c>
      <c r="M718">
        <f>ABS(Table1[[#This Row],[PartyAVotes]]-Table1[[#This Row],[PartyBVotes]])</f>
        <v>20</v>
      </c>
      <c r="N718" s="11">
        <f>Table1[[#This Row],[TotalVotesCast]]/Table1[[#This Row],[RegisteredVoters]]</f>
        <v>0.98706896551724133</v>
      </c>
      <c r="O718" t="str">
        <f>IF(Table1[[#This Row],[RegisteredVoters]]=Table1[[#This Row],[TotalVotesCast]],"Match","")</f>
        <v/>
      </c>
    </row>
    <row r="719" spans="1:15" ht="13.2">
      <c r="A719" s="1" t="s">
        <v>838</v>
      </c>
      <c r="B719" t="s">
        <v>21</v>
      </c>
      <c r="C719" t="s">
        <v>22</v>
      </c>
      <c r="D719" t="s">
        <v>792</v>
      </c>
      <c r="E719">
        <v>1420</v>
      </c>
      <c r="F719">
        <v>695</v>
      </c>
      <c r="G719">
        <v>665</v>
      </c>
      <c r="H719">
        <v>25</v>
      </c>
      <c r="I719">
        <v>1385</v>
      </c>
      <c r="J719" s="8">
        <f>Table1[[#This Row],[PartyAVotes]]/Table1[[#This Row],[RegisteredVoters]]</f>
        <v>0.48943661971830987</v>
      </c>
      <c r="K719" s="8">
        <f>Table1[[#This Row],[PartyBVotes]]/Table1[[#This Row],[RegisteredVoters]]</f>
        <v>0.46830985915492956</v>
      </c>
      <c r="L719" s="8">
        <f>Table1[[#This Row],[PartyCVotes]]/Table1[[#This Row],[RegisteredVoters]]</f>
        <v>1.7605633802816902E-2</v>
      </c>
      <c r="M719">
        <f>ABS(Table1[[#This Row],[PartyAVotes]]-Table1[[#This Row],[PartyBVotes]])</f>
        <v>30</v>
      </c>
      <c r="N719" s="11">
        <f>Table1[[#This Row],[TotalVotesCast]]/Table1[[#This Row],[RegisteredVoters]]</f>
        <v>0.97535211267605637</v>
      </c>
      <c r="O719" t="str">
        <f>IF(Table1[[#This Row],[RegisteredVoters]]=Table1[[#This Row],[TotalVotesCast]],"Match","")</f>
        <v/>
      </c>
    </row>
    <row r="720" spans="1:15" ht="13.2">
      <c r="A720" s="1" t="s">
        <v>839</v>
      </c>
      <c r="B720" t="s">
        <v>10</v>
      </c>
      <c r="C720" t="s">
        <v>14</v>
      </c>
      <c r="D720" t="s">
        <v>747</v>
      </c>
      <c r="E720">
        <v>860</v>
      </c>
      <c r="F720">
        <v>420</v>
      </c>
      <c r="G720">
        <v>400</v>
      </c>
      <c r="H720">
        <v>15</v>
      </c>
      <c r="I720">
        <v>835</v>
      </c>
      <c r="J720" s="8">
        <f>Table1[[#This Row],[PartyAVotes]]/Table1[[#This Row],[RegisteredVoters]]</f>
        <v>0.48837209302325579</v>
      </c>
      <c r="K720" s="8">
        <f>Table1[[#This Row],[PartyBVotes]]/Table1[[#This Row],[RegisteredVoters]]</f>
        <v>0.46511627906976744</v>
      </c>
      <c r="L720" s="8">
        <f>Table1[[#This Row],[PartyCVotes]]/Table1[[#This Row],[RegisteredVoters]]</f>
        <v>1.7441860465116279E-2</v>
      </c>
      <c r="M720">
        <f>ABS(Table1[[#This Row],[PartyAVotes]]-Table1[[#This Row],[PartyBVotes]])</f>
        <v>20</v>
      </c>
      <c r="N720" s="11">
        <f>Table1[[#This Row],[TotalVotesCast]]/Table1[[#This Row],[RegisteredVoters]]</f>
        <v>0.97093023255813948</v>
      </c>
      <c r="O720" t="str">
        <f>IF(Table1[[#This Row],[RegisteredVoters]]=Table1[[#This Row],[TotalVotesCast]],"Match","")</f>
        <v/>
      </c>
    </row>
    <row r="721" spans="1:15" ht="13.2">
      <c r="A721" s="1" t="s">
        <v>840</v>
      </c>
      <c r="B721" t="s">
        <v>15</v>
      </c>
      <c r="C721" t="s">
        <v>17</v>
      </c>
      <c r="D721" t="s">
        <v>729</v>
      </c>
      <c r="E721">
        <v>910</v>
      </c>
      <c r="F721">
        <v>450</v>
      </c>
      <c r="G721">
        <v>430</v>
      </c>
      <c r="H721">
        <v>15</v>
      </c>
      <c r="I721">
        <v>895</v>
      </c>
      <c r="J721" s="8">
        <f>Table1[[#This Row],[PartyAVotes]]/Table1[[#This Row],[RegisteredVoters]]</f>
        <v>0.49450549450549453</v>
      </c>
      <c r="K721" s="8">
        <f>Table1[[#This Row],[PartyBVotes]]/Table1[[#This Row],[RegisteredVoters]]</f>
        <v>0.47252747252747251</v>
      </c>
      <c r="L721" s="8">
        <f>Table1[[#This Row],[PartyCVotes]]/Table1[[#This Row],[RegisteredVoters]]</f>
        <v>1.6483516483516484E-2</v>
      </c>
      <c r="M721">
        <f>ABS(Table1[[#This Row],[PartyAVotes]]-Table1[[#This Row],[PartyBVotes]])</f>
        <v>20</v>
      </c>
      <c r="N721" s="11">
        <f>Table1[[#This Row],[TotalVotesCast]]/Table1[[#This Row],[RegisteredVoters]]</f>
        <v>0.98351648351648346</v>
      </c>
      <c r="O721" t="str">
        <f>IF(Table1[[#This Row],[RegisteredVoters]]=Table1[[#This Row],[TotalVotesCast]],"Match","")</f>
        <v/>
      </c>
    </row>
    <row r="722" spans="1:15" ht="13.2">
      <c r="A722" s="1" t="s">
        <v>841</v>
      </c>
      <c r="B722" t="s">
        <v>18</v>
      </c>
      <c r="C722" t="s">
        <v>19</v>
      </c>
      <c r="D722" t="s">
        <v>756</v>
      </c>
      <c r="E722">
        <v>1180</v>
      </c>
      <c r="F722">
        <v>585</v>
      </c>
      <c r="G722">
        <v>560</v>
      </c>
      <c r="H722">
        <v>20</v>
      </c>
      <c r="I722">
        <v>1165</v>
      </c>
      <c r="J722" s="8">
        <f>Table1[[#This Row],[PartyAVotes]]/Table1[[#This Row],[RegisteredVoters]]</f>
        <v>0.49576271186440679</v>
      </c>
      <c r="K722" s="8">
        <f>Table1[[#This Row],[PartyBVotes]]/Table1[[#This Row],[RegisteredVoters]]</f>
        <v>0.47457627118644069</v>
      </c>
      <c r="L722" s="8">
        <f>Table1[[#This Row],[PartyCVotes]]/Table1[[#This Row],[RegisteredVoters]]</f>
        <v>1.6949152542372881E-2</v>
      </c>
      <c r="M722">
        <f>ABS(Table1[[#This Row],[PartyAVotes]]-Table1[[#This Row],[PartyBVotes]])</f>
        <v>25</v>
      </c>
      <c r="N722" s="11">
        <f>Table1[[#This Row],[TotalVotesCast]]/Table1[[#This Row],[RegisteredVoters]]</f>
        <v>0.98728813559322037</v>
      </c>
      <c r="O722" t="str">
        <f>IF(Table1[[#This Row],[RegisteredVoters]]=Table1[[#This Row],[TotalVotesCast]],"Match","")</f>
        <v/>
      </c>
    </row>
    <row r="723" spans="1:15" ht="13.2">
      <c r="A723" s="1" t="s">
        <v>842</v>
      </c>
      <c r="B723" t="s">
        <v>21</v>
      </c>
      <c r="C723" t="s">
        <v>23</v>
      </c>
      <c r="D723" t="s">
        <v>738</v>
      </c>
      <c r="E723">
        <v>1240</v>
      </c>
      <c r="F723">
        <v>615</v>
      </c>
      <c r="G723">
        <v>590</v>
      </c>
      <c r="H723">
        <v>20</v>
      </c>
      <c r="I723">
        <v>1225</v>
      </c>
      <c r="J723" s="8">
        <f>Table1[[#This Row],[PartyAVotes]]/Table1[[#This Row],[RegisteredVoters]]</f>
        <v>0.49596774193548387</v>
      </c>
      <c r="K723" s="8">
        <f>Table1[[#This Row],[PartyBVotes]]/Table1[[#This Row],[RegisteredVoters]]</f>
        <v>0.47580645161290325</v>
      </c>
      <c r="L723" s="8">
        <f>Table1[[#This Row],[PartyCVotes]]/Table1[[#This Row],[RegisteredVoters]]</f>
        <v>1.6129032258064516E-2</v>
      </c>
      <c r="M723">
        <f>ABS(Table1[[#This Row],[PartyAVotes]]-Table1[[#This Row],[PartyBVotes]])</f>
        <v>25</v>
      </c>
      <c r="N723" s="11">
        <f>Table1[[#This Row],[TotalVotesCast]]/Table1[[#This Row],[RegisteredVoters]]</f>
        <v>0.98790322580645162</v>
      </c>
      <c r="O723" t="str">
        <f>IF(Table1[[#This Row],[RegisteredVoters]]=Table1[[#This Row],[TotalVotesCast]],"Match","")</f>
        <v/>
      </c>
    </row>
    <row r="724" spans="1:15" ht="13.2">
      <c r="A724" s="1" t="s">
        <v>843</v>
      </c>
      <c r="B724" t="s">
        <v>10</v>
      </c>
      <c r="C724" t="s">
        <v>11</v>
      </c>
      <c r="D724" t="s">
        <v>810</v>
      </c>
      <c r="E724">
        <v>780</v>
      </c>
      <c r="F724">
        <v>380</v>
      </c>
      <c r="G724">
        <v>360</v>
      </c>
      <c r="H724">
        <v>10</v>
      </c>
      <c r="I724">
        <v>750</v>
      </c>
      <c r="J724" s="8">
        <f>Table1[[#This Row],[PartyAVotes]]/Table1[[#This Row],[RegisteredVoters]]</f>
        <v>0.48717948717948717</v>
      </c>
      <c r="K724" s="8">
        <f>Table1[[#This Row],[PartyBVotes]]/Table1[[#This Row],[RegisteredVoters]]</f>
        <v>0.46153846153846156</v>
      </c>
      <c r="L724" s="8">
        <f>Table1[[#This Row],[PartyCVotes]]/Table1[[#This Row],[RegisteredVoters]]</f>
        <v>1.282051282051282E-2</v>
      </c>
      <c r="M724">
        <f>ABS(Table1[[#This Row],[PartyAVotes]]-Table1[[#This Row],[PartyBVotes]])</f>
        <v>20</v>
      </c>
      <c r="N724" s="11">
        <f>Table1[[#This Row],[TotalVotesCast]]/Table1[[#This Row],[RegisteredVoters]]</f>
        <v>0.96153846153846156</v>
      </c>
      <c r="O724" t="str">
        <f>IF(Table1[[#This Row],[RegisteredVoters]]=Table1[[#This Row],[TotalVotesCast]],"Match","")</f>
        <v/>
      </c>
    </row>
    <row r="725" spans="1:15" ht="13.2">
      <c r="A725" s="1" t="s">
        <v>844</v>
      </c>
      <c r="B725" t="s">
        <v>15</v>
      </c>
      <c r="C725" t="s">
        <v>16</v>
      </c>
      <c r="D725" t="s">
        <v>810</v>
      </c>
      <c r="E725">
        <v>1080</v>
      </c>
      <c r="F725">
        <v>530</v>
      </c>
      <c r="G725">
        <v>510</v>
      </c>
      <c r="H725">
        <v>15</v>
      </c>
      <c r="I725">
        <v>1055</v>
      </c>
      <c r="J725" s="8">
        <f>Table1[[#This Row],[PartyAVotes]]/Table1[[#This Row],[RegisteredVoters]]</f>
        <v>0.49074074074074076</v>
      </c>
      <c r="K725" s="8">
        <f>Table1[[#This Row],[PartyBVotes]]/Table1[[#This Row],[RegisteredVoters]]</f>
        <v>0.47222222222222221</v>
      </c>
      <c r="L725" s="8">
        <f>Table1[[#This Row],[PartyCVotes]]/Table1[[#This Row],[RegisteredVoters]]</f>
        <v>1.3888888888888888E-2</v>
      </c>
      <c r="M725">
        <f>ABS(Table1[[#This Row],[PartyAVotes]]-Table1[[#This Row],[PartyBVotes]])</f>
        <v>20</v>
      </c>
      <c r="N725" s="11">
        <f>Table1[[#This Row],[TotalVotesCast]]/Table1[[#This Row],[RegisteredVoters]]</f>
        <v>0.97685185185185186</v>
      </c>
      <c r="O725" t="str">
        <f>IF(Table1[[#This Row],[RegisteredVoters]]=Table1[[#This Row],[TotalVotesCast]],"Match","")</f>
        <v/>
      </c>
    </row>
    <row r="726" spans="1:15" ht="13.2">
      <c r="A726" s="1" t="s">
        <v>845</v>
      </c>
      <c r="B726" t="s">
        <v>18</v>
      </c>
      <c r="C726" t="s">
        <v>20</v>
      </c>
      <c r="D726" t="s">
        <v>846</v>
      </c>
      <c r="E726">
        <v>1170</v>
      </c>
      <c r="F726">
        <v>580</v>
      </c>
      <c r="G726">
        <v>560</v>
      </c>
      <c r="H726">
        <v>15</v>
      </c>
      <c r="I726">
        <v>1155</v>
      </c>
      <c r="J726" s="8">
        <f>Table1[[#This Row],[PartyAVotes]]/Table1[[#This Row],[RegisteredVoters]]</f>
        <v>0.49572649572649574</v>
      </c>
      <c r="K726" s="8">
        <f>Table1[[#This Row],[PartyBVotes]]/Table1[[#This Row],[RegisteredVoters]]</f>
        <v>0.47863247863247865</v>
      </c>
      <c r="L726" s="8">
        <f>Table1[[#This Row],[PartyCVotes]]/Table1[[#This Row],[RegisteredVoters]]</f>
        <v>1.282051282051282E-2</v>
      </c>
      <c r="M726">
        <f>ABS(Table1[[#This Row],[PartyAVotes]]-Table1[[#This Row],[PartyBVotes]])</f>
        <v>20</v>
      </c>
      <c r="N726" s="11">
        <f>Table1[[#This Row],[TotalVotesCast]]/Table1[[#This Row],[RegisteredVoters]]</f>
        <v>0.98717948717948723</v>
      </c>
      <c r="O726" t="str">
        <f>IF(Table1[[#This Row],[RegisteredVoters]]=Table1[[#This Row],[TotalVotesCast]],"Match","")</f>
        <v/>
      </c>
    </row>
    <row r="727" spans="1:15" ht="13.2">
      <c r="A727" s="1" t="s">
        <v>847</v>
      </c>
      <c r="B727" t="s">
        <v>21</v>
      </c>
      <c r="C727" t="s">
        <v>22</v>
      </c>
      <c r="D727" t="s">
        <v>801</v>
      </c>
      <c r="E727">
        <v>1430</v>
      </c>
      <c r="F727">
        <v>700</v>
      </c>
      <c r="G727">
        <v>670</v>
      </c>
      <c r="H727">
        <v>25</v>
      </c>
      <c r="I727">
        <v>1395</v>
      </c>
      <c r="J727" s="8">
        <f>Table1[[#This Row],[PartyAVotes]]/Table1[[#This Row],[RegisteredVoters]]</f>
        <v>0.48951048951048953</v>
      </c>
      <c r="K727" s="8">
        <f>Table1[[#This Row],[PartyBVotes]]/Table1[[#This Row],[RegisteredVoters]]</f>
        <v>0.46853146853146854</v>
      </c>
      <c r="L727" s="8">
        <f>Table1[[#This Row],[PartyCVotes]]/Table1[[#This Row],[RegisteredVoters]]</f>
        <v>1.7482517482517484E-2</v>
      </c>
      <c r="M727">
        <f>ABS(Table1[[#This Row],[PartyAVotes]]-Table1[[#This Row],[PartyBVotes]])</f>
        <v>30</v>
      </c>
      <c r="N727" s="11">
        <f>Table1[[#This Row],[TotalVotesCast]]/Table1[[#This Row],[RegisteredVoters]]</f>
        <v>0.97552447552447552</v>
      </c>
      <c r="O727" t="str">
        <f>IF(Table1[[#This Row],[RegisteredVoters]]=Table1[[#This Row],[TotalVotesCast]],"Match","")</f>
        <v/>
      </c>
    </row>
    <row r="728" spans="1:15" ht="13.2">
      <c r="A728" s="1" t="s">
        <v>848</v>
      </c>
      <c r="B728" t="s">
        <v>10</v>
      </c>
      <c r="C728" t="s">
        <v>14</v>
      </c>
      <c r="D728" t="s">
        <v>756</v>
      </c>
      <c r="E728">
        <v>870</v>
      </c>
      <c r="F728">
        <v>425</v>
      </c>
      <c r="G728">
        <v>405</v>
      </c>
      <c r="H728">
        <v>15</v>
      </c>
      <c r="I728">
        <v>845</v>
      </c>
      <c r="J728" s="8">
        <f>Table1[[#This Row],[PartyAVotes]]/Table1[[#This Row],[RegisteredVoters]]</f>
        <v>0.4885057471264368</v>
      </c>
      <c r="K728" s="8">
        <f>Table1[[#This Row],[PartyBVotes]]/Table1[[#This Row],[RegisteredVoters]]</f>
        <v>0.46551724137931033</v>
      </c>
      <c r="L728" s="8">
        <f>Table1[[#This Row],[PartyCVotes]]/Table1[[#This Row],[RegisteredVoters]]</f>
        <v>1.7241379310344827E-2</v>
      </c>
      <c r="M728">
        <f>ABS(Table1[[#This Row],[PartyAVotes]]-Table1[[#This Row],[PartyBVotes]])</f>
        <v>20</v>
      </c>
      <c r="N728" s="11">
        <f>Table1[[#This Row],[TotalVotesCast]]/Table1[[#This Row],[RegisteredVoters]]</f>
        <v>0.97126436781609193</v>
      </c>
      <c r="O728" t="str">
        <f>IF(Table1[[#This Row],[RegisteredVoters]]=Table1[[#This Row],[TotalVotesCast]],"Match","")</f>
        <v/>
      </c>
    </row>
    <row r="729" spans="1:15" ht="13.2">
      <c r="A729" s="1" t="s">
        <v>849</v>
      </c>
      <c r="B729" t="s">
        <v>15</v>
      </c>
      <c r="C729" t="s">
        <v>17</v>
      </c>
      <c r="D729" t="s">
        <v>738</v>
      </c>
      <c r="E729">
        <v>920</v>
      </c>
      <c r="F729">
        <v>455</v>
      </c>
      <c r="G729">
        <v>435</v>
      </c>
      <c r="H729">
        <v>15</v>
      </c>
      <c r="I729">
        <v>905</v>
      </c>
      <c r="J729" s="8">
        <f>Table1[[#This Row],[PartyAVotes]]/Table1[[#This Row],[RegisteredVoters]]</f>
        <v>0.49456521739130432</v>
      </c>
      <c r="K729" s="8">
        <f>Table1[[#This Row],[PartyBVotes]]/Table1[[#This Row],[RegisteredVoters]]</f>
        <v>0.47282608695652173</v>
      </c>
      <c r="L729" s="8">
        <f>Table1[[#This Row],[PartyCVotes]]/Table1[[#This Row],[RegisteredVoters]]</f>
        <v>1.6304347826086956E-2</v>
      </c>
      <c r="M729">
        <f>ABS(Table1[[#This Row],[PartyAVotes]]-Table1[[#This Row],[PartyBVotes]])</f>
        <v>20</v>
      </c>
      <c r="N729" s="11">
        <f>Table1[[#This Row],[TotalVotesCast]]/Table1[[#This Row],[RegisteredVoters]]</f>
        <v>0.98369565217391308</v>
      </c>
      <c r="O729" t="str">
        <f>IF(Table1[[#This Row],[RegisteredVoters]]=Table1[[#This Row],[TotalVotesCast]],"Match","")</f>
        <v/>
      </c>
    </row>
    <row r="730" spans="1:15" ht="13.2">
      <c r="A730" s="1" t="s">
        <v>850</v>
      </c>
      <c r="B730" t="s">
        <v>18</v>
      </c>
      <c r="C730" t="s">
        <v>19</v>
      </c>
      <c r="D730" t="s">
        <v>765</v>
      </c>
      <c r="E730">
        <v>1190</v>
      </c>
      <c r="F730">
        <v>590</v>
      </c>
      <c r="G730">
        <v>565</v>
      </c>
      <c r="H730">
        <v>20</v>
      </c>
      <c r="I730">
        <v>1175</v>
      </c>
      <c r="J730" s="8">
        <f>Table1[[#This Row],[PartyAVotes]]/Table1[[#This Row],[RegisteredVoters]]</f>
        <v>0.49579831932773111</v>
      </c>
      <c r="K730" s="8">
        <f>Table1[[#This Row],[PartyBVotes]]/Table1[[#This Row],[RegisteredVoters]]</f>
        <v>0.47478991596638653</v>
      </c>
      <c r="L730" s="8">
        <f>Table1[[#This Row],[PartyCVotes]]/Table1[[#This Row],[RegisteredVoters]]</f>
        <v>1.680672268907563E-2</v>
      </c>
      <c r="M730">
        <f>ABS(Table1[[#This Row],[PartyAVotes]]-Table1[[#This Row],[PartyBVotes]])</f>
        <v>25</v>
      </c>
      <c r="N730" s="11">
        <f>Table1[[#This Row],[TotalVotesCast]]/Table1[[#This Row],[RegisteredVoters]]</f>
        <v>0.98739495798319332</v>
      </c>
      <c r="O730" t="str">
        <f>IF(Table1[[#This Row],[RegisteredVoters]]=Table1[[#This Row],[TotalVotesCast]],"Match","")</f>
        <v/>
      </c>
    </row>
    <row r="731" spans="1:15" ht="13.2">
      <c r="A731" s="1" t="s">
        <v>851</v>
      </c>
      <c r="B731" t="s">
        <v>21</v>
      </c>
      <c r="C731" t="s">
        <v>23</v>
      </c>
      <c r="D731" t="s">
        <v>747</v>
      </c>
      <c r="E731">
        <v>1250</v>
      </c>
      <c r="F731">
        <v>620</v>
      </c>
      <c r="G731">
        <v>595</v>
      </c>
      <c r="H731">
        <v>20</v>
      </c>
      <c r="I731">
        <v>1235</v>
      </c>
      <c r="J731" s="8">
        <f>Table1[[#This Row],[PartyAVotes]]/Table1[[#This Row],[RegisteredVoters]]</f>
        <v>0.496</v>
      </c>
      <c r="K731" s="8">
        <f>Table1[[#This Row],[PartyBVotes]]/Table1[[#This Row],[RegisteredVoters]]</f>
        <v>0.47599999999999998</v>
      </c>
      <c r="L731" s="8">
        <f>Table1[[#This Row],[PartyCVotes]]/Table1[[#This Row],[RegisteredVoters]]</f>
        <v>1.6E-2</v>
      </c>
      <c r="M731">
        <f>ABS(Table1[[#This Row],[PartyAVotes]]-Table1[[#This Row],[PartyBVotes]])</f>
        <v>25</v>
      </c>
      <c r="N731" s="11">
        <f>Table1[[#This Row],[TotalVotesCast]]/Table1[[#This Row],[RegisteredVoters]]</f>
        <v>0.98799999999999999</v>
      </c>
      <c r="O731" t="str">
        <f>IF(Table1[[#This Row],[RegisteredVoters]]=Table1[[#This Row],[TotalVotesCast]],"Match","")</f>
        <v/>
      </c>
    </row>
    <row r="732" spans="1:15" ht="13.2">
      <c r="A732" s="1" t="s">
        <v>852</v>
      </c>
      <c r="B732" t="s">
        <v>10</v>
      </c>
      <c r="C732" t="s">
        <v>11</v>
      </c>
      <c r="D732" t="s">
        <v>819</v>
      </c>
      <c r="E732">
        <v>790</v>
      </c>
      <c r="F732">
        <v>385</v>
      </c>
      <c r="G732">
        <v>365</v>
      </c>
      <c r="H732">
        <v>10</v>
      </c>
      <c r="I732">
        <v>760</v>
      </c>
      <c r="J732" s="8">
        <f>Table1[[#This Row],[PartyAVotes]]/Table1[[#This Row],[RegisteredVoters]]</f>
        <v>0.48734177215189872</v>
      </c>
      <c r="K732" s="8">
        <f>Table1[[#This Row],[PartyBVotes]]/Table1[[#This Row],[RegisteredVoters]]</f>
        <v>0.46202531645569622</v>
      </c>
      <c r="L732" s="8">
        <f>Table1[[#This Row],[PartyCVotes]]/Table1[[#This Row],[RegisteredVoters]]</f>
        <v>1.2658227848101266E-2</v>
      </c>
      <c r="M732">
        <f>ABS(Table1[[#This Row],[PartyAVotes]]-Table1[[#This Row],[PartyBVotes]])</f>
        <v>20</v>
      </c>
      <c r="N732" s="11">
        <f>Table1[[#This Row],[TotalVotesCast]]/Table1[[#This Row],[RegisteredVoters]]</f>
        <v>0.96202531645569622</v>
      </c>
      <c r="O732" t="str">
        <f>IF(Table1[[#This Row],[RegisteredVoters]]=Table1[[#This Row],[TotalVotesCast]],"Match","")</f>
        <v/>
      </c>
    </row>
    <row r="733" spans="1:15" ht="13.2">
      <c r="A733" s="1" t="s">
        <v>853</v>
      </c>
      <c r="B733" t="s">
        <v>15</v>
      </c>
      <c r="C733" t="s">
        <v>16</v>
      </c>
      <c r="D733" t="s">
        <v>819</v>
      </c>
      <c r="E733">
        <v>1090</v>
      </c>
      <c r="F733">
        <v>535</v>
      </c>
      <c r="G733">
        <v>515</v>
      </c>
      <c r="H733">
        <v>15</v>
      </c>
      <c r="I733">
        <v>1065</v>
      </c>
      <c r="J733" s="8">
        <f>Table1[[#This Row],[PartyAVotes]]/Table1[[#This Row],[RegisteredVoters]]</f>
        <v>0.49082568807339449</v>
      </c>
      <c r="K733" s="8">
        <f>Table1[[#This Row],[PartyBVotes]]/Table1[[#This Row],[RegisteredVoters]]</f>
        <v>0.47247706422018348</v>
      </c>
      <c r="L733" s="8">
        <f>Table1[[#This Row],[PartyCVotes]]/Table1[[#This Row],[RegisteredVoters]]</f>
        <v>1.3761467889908258E-2</v>
      </c>
      <c r="M733">
        <f>ABS(Table1[[#This Row],[PartyAVotes]]-Table1[[#This Row],[PartyBVotes]])</f>
        <v>20</v>
      </c>
      <c r="N733" s="11">
        <f>Table1[[#This Row],[TotalVotesCast]]/Table1[[#This Row],[RegisteredVoters]]</f>
        <v>0.97706422018348627</v>
      </c>
      <c r="O733" t="str">
        <f>IF(Table1[[#This Row],[RegisteredVoters]]=Table1[[#This Row],[TotalVotesCast]],"Match","")</f>
        <v/>
      </c>
    </row>
    <row r="734" spans="1:15" ht="13.2">
      <c r="A734" s="1" t="s">
        <v>854</v>
      </c>
      <c r="B734" t="s">
        <v>18</v>
      </c>
      <c r="C734" t="s">
        <v>20</v>
      </c>
      <c r="D734" t="s">
        <v>855</v>
      </c>
      <c r="E734">
        <v>1180</v>
      </c>
      <c r="F734">
        <v>585</v>
      </c>
      <c r="G734">
        <v>565</v>
      </c>
      <c r="H734">
        <v>15</v>
      </c>
      <c r="I734">
        <v>1165</v>
      </c>
      <c r="J734" s="8">
        <f>Table1[[#This Row],[PartyAVotes]]/Table1[[#This Row],[RegisteredVoters]]</f>
        <v>0.49576271186440679</v>
      </c>
      <c r="K734" s="8">
        <f>Table1[[#This Row],[PartyBVotes]]/Table1[[#This Row],[RegisteredVoters]]</f>
        <v>0.4788135593220339</v>
      </c>
      <c r="L734" s="8">
        <f>Table1[[#This Row],[PartyCVotes]]/Table1[[#This Row],[RegisteredVoters]]</f>
        <v>1.2711864406779662E-2</v>
      </c>
      <c r="M734">
        <f>ABS(Table1[[#This Row],[PartyAVotes]]-Table1[[#This Row],[PartyBVotes]])</f>
        <v>20</v>
      </c>
      <c r="N734" s="11">
        <f>Table1[[#This Row],[TotalVotesCast]]/Table1[[#This Row],[RegisteredVoters]]</f>
        <v>0.98728813559322037</v>
      </c>
      <c r="O734" t="str">
        <f>IF(Table1[[#This Row],[RegisteredVoters]]=Table1[[#This Row],[TotalVotesCast]],"Match","")</f>
        <v/>
      </c>
    </row>
    <row r="735" spans="1:15" ht="13.2">
      <c r="A735" s="1" t="s">
        <v>856</v>
      </c>
      <c r="B735" t="s">
        <v>21</v>
      </c>
      <c r="C735" t="s">
        <v>22</v>
      </c>
      <c r="D735" t="s">
        <v>810</v>
      </c>
      <c r="E735">
        <v>1440</v>
      </c>
      <c r="F735">
        <v>705</v>
      </c>
      <c r="G735">
        <v>675</v>
      </c>
      <c r="H735">
        <v>25</v>
      </c>
      <c r="I735">
        <v>1405</v>
      </c>
      <c r="J735" s="8">
        <f>Table1[[#This Row],[PartyAVotes]]/Table1[[#This Row],[RegisteredVoters]]</f>
        <v>0.48958333333333331</v>
      </c>
      <c r="K735" s="8">
        <f>Table1[[#This Row],[PartyBVotes]]/Table1[[#This Row],[RegisteredVoters]]</f>
        <v>0.46875</v>
      </c>
      <c r="L735" s="8">
        <f>Table1[[#This Row],[PartyCVotes]]/Table1[[#This Row],[RegisteredVoters]]</f>
        <v>1.7361111111111112E-2</v>
      </c>
      <c r="M735">
        <f>ABS(Table1[[#This Row],[PartyAVotes]]-Table1[[#This Row],[PartyBVotes]])</f>
        <v>30</v>
      </c>
      <c r="N735" s="11">
        <f>Table1[[#This Row],[TotalVotesCast]]/Table1[[#This Row],[RegisteredVoters]]</f>
        <v>0.97569444444444442</v>
      </c>
      <c r="O735" t="str">
        <f>IF(Table1[[#This Row],[RegisteredVoters]]=Table1[[#This Row],[TotalVotesCast]],"Match","")</f>
        <v/>
      </c>
    </row>
    <row r="736" spans="1:15" ht="13.2">
      <c r="A736" s="1" t="s">
        <v>857</v>
      </c>
      <c r="B736" t="s">
        <v>10</v>
      </c>
      <c r="C736" t="s">
        <v>14</v>
      </c>
      <c r="D736" t="s">
        <v>765</v>
      </c>
      <c r="E736">
        <v>880</v>
      </c>
      <c r="F736">
        <v>430</v>
      </c>
      <c r="G736">
        <v>410</v>
      </c>
      <c r="H736">
        <v>15</v>
      </c>
      <c r="I736">
        <v>855</v>
      </c>
      <c r="J736" s="8">
        <f>Table1[[#This Row],[PartyAVotes]]/Table1[[#This Row],[RegisteredVoters]]</f>
        <v>0.48863636363636365</v>
      </c>
      <c r="K736" s="8">
        <f>Table1[[#This Row],[PartyBVotes]]/Table1[[#This Row],[RegisteredVoters]]</f>
        <v>0.46590909090909088</v>
      </c>
      <c r="L736" s="8">
        <f>Table1[[#This Row],[PartyCVotes]]/Table1[[#This Row],[RegisteredVoters]]</f>
        <v>1.7045454545454544E-2</v>
      </c>
      <c r="M736">
        <f>ABS(Table1[[#This Row],[PartyAVotes]]-Table1[[#This Row],[PartyBVotes]])</f>
        <v>20</v>
      </c>
      <c r="N736" s="11">
        <f>Table1[[#This Row],[TotalVotesCast]]/Table1[[#This Row],[RegisteredVoters]]</f>
        <v>0.97159090909090906</v>
      </c>
      <c r="O736" t="str">
        <f>IF(Table1[[#This Row],[RegisteredVoters]]=Table1[[#This Row],[TotalVotesCast]],"Match","")</f>
        <v/>
      </c>
    </row>
    <row r="737" spans="1:15" ht="13.2">
      <c r="A737" s="1" t="s">
        <v>858</v>
      </c>
      <c r="B737" t="s">
        <v>15</v>
      </c>
      <c r="C737" t="s">
        <v>17</v>
      </c>
      <c r="D737" t="s">
        <v>747</v>
      </c>
      <c r="E737">
        <v>930</v>
      </c>
      <c r="F737">
        <v>460</v>
      </c>
      <c r="G737">
        <v>440</v>
      </c>
      <c r="H737">
        <v>15</v>
      </c>
      <c r="I737">
        <v>915</v>
      </c>
      <c r="J737" s="8">
        <f>Table1[[#This Row],[PartyAVotes]]/Table1[[#This Row],[RegisteredVoters]]</f>
        <v>0.4946236559139785</v>
      </c>
      <c r="K737" s="8">
        <f>Table1[[#This Row],[PartyBVotes]]/Table1[[#This Row],[RegisteredVoters]]</f>
        <v>0.4731182795698925</v>
      </c>
      <c r="L737" s="8">
        <f>Table1[[#This Row],[PartyCVotes]]/Table1[[#This Row],[RegisteredVoters]]</f>
        <v>1.6129032258064516E-2</v>
      </c>
      <c r="M737">
        <f>ABS(Table1[[#This Row],[PartyAVotes]]-Table1[[#This Row],[PartyBVotes]])</f>
        <v>20</v>
      </c>
      <c r="N737" s="11">
        <f>Table1[[#This Row],[TotalVotesCast]]/Table1[[#This Row],[RegisteredVoters]]</f>
        <v>0.9838709677419355</v>
      </c>
      <c r="O737" t="str">
        <f>IF(Table1[[#This Row],[RegisteredVoters]]=Table1[[#This Row],[TotalVotesCast]],"Match","")</f>
        <v/>
      </c>
    </row>
    <row r="738" spans="1:15" ht="13.2">
      <c r="A738" s="1" t="s">
        <v>859</v>
      </c>
      <c r="B738" t="s">
        <v>18</v>
      </c>
      <c r="C738" t="s">
        <v>19</v>
      </c>
      <c r="D738" t="s">
        <v>774</v>
      </c>
      <c r="E738">
        <v>1200</v>
      </c>
      <c r="F738">
        <v>595</v>
      </c>
      <c r="G738">
        <v>570</v>
      </c>
      <c r="H738">
        <v>20</v>
      </c>
      <c r="I738">
        <v>1185</v>
      </c>
      <c r="J738" s="8">
        <f>Table1[[#This Row],[PartyAVotes]]/Table1[[#This Row],[RegisteredVoters]]</f>
        <v>0.49583333333333335</v>
      </c>
      <c r="K738" s="8">
        <f>Table1[[#This Row],[PartyBVotes]]/Table1[[#This Row],[RegisteredVoters]]</f>
        <v>0.47499999999999998</v>
      </c>
      <c r="L738" s="8">
        <f>Table1[[#This Row],[PartyCVotes]]/Table1[[#This Row],[RegisteredVoters]]</f>
        <v>1.6666666666666666E-2</v>
      </c>
      <c r="M738">
        <f>ABS(Table1[[#This Row],[PartyAVotes]]-Table1[[#This Row],[PartyBVotes]])</f>
        <v>25</v>
      </c>
      <c r="N738" s="11">
        <f>Table1[[#This Row],[TotalVotesCast]]/Table1[[#This Row],[RegisteredVoters]]</f>
        <v>0.98750000000000004</v>
      </c>
      <c r="O738" t="str">
        <f>IF(Table1[[#This Row],[RegisteredVoters]]=Table1[[#This Row],[TotalVotesCast]],"Match","")</f>
        <v/>
      </c>
    </row>
    <row r="739" spans="1:15" ht="13.2">
      <c r="A739" s="1" t="s">
        <v>860</v>
      </c>
      <c r="B739" t="s">
        <v>21</v>
      </c>
      <c r="C739" t="s">
        <v>23</v>
      </c>
      <c r="D739" t="s">
        <v>756</v>
      </c>
      <c r="E739">
        <v>1260</v>
      </c>
      <c r="F739">
        <v>625</v>
      </c>
      <c r="G739">
        <v>600</v>
      </c>
      <c r="H739">
        <v>20</v>
      </c>
      <c r="I739">
        <v>1245</v>
      </c>
      <c r="J739" s="8">
        <f>Table1[[#This Row],[PartyAVotes]]/Table1[[#This Row],[RegisteredVoters]]</f>
        <v>0.49603174603174605</v>
      </c>
      <c r="K739" s="8">
        <f>Table1[[#This Row],[PartyBVotes]]/Table1[[#This Row],[RegisteredVoters]]</f>
        <v>0.47619047619047616</v>
      </c>
      <c r="L739" s="8">
        <f>Table1[[#This Row],[PartyCVotes]]/Table1[[#This Row],[RegisteredVoters]]</f>
        <v>1.5873015873015872E-2</v>
      </c>
      <c r="M739">
        <f>ABS(Table1[[#This Row],[PartyAVotes]]-Table1[[#This Row],[PartyBVotes]])</f>
        <v>25</v>
      </c>
      <c r="N739" s="11">
        <f>Table1[[#This Row],[TotalVotesCast]]/Table1[[#This Row],[RegisteredVoters]]</f>
        <v>0.98809523809523814</v>
      </c>
      <c r="O739" t="str">
        <f>IF(Table1[[#This Row],[RegisteredVoters]]=Table1[[#This Row],[TotalVotesCast]],"Match","")</f>
        <v/>
      </c>
    </row>
    <row r="740" spans="1:15" ht="13.2">
      <c r="A740" s="1" t="s">
        <v>861</v>
      </c>
      <c r="B740" t="s">
        <v>10</v>
      </c>
      <c r="C740" t="s">
        <v>11</v>
      </c>
      <c r="D740" t="s">
        <v>828</v>
      </c>
      <c r="E740">
        <v>800</v>
      </c>
      <c r="F740">
        <v>390</v>
      </c>
      <c r="G740">
        <v>370</v>
      </c>
      <c r="H740">
        <v>10</v>
      </c>
      <c r="I740">
        <v>770</v>
      </c>
      <c r="J740" s="8">
        <f>Table1[[#This Row],[PartyAVotes]]/Table1[[#This Row],[RegisteredVoters]]</f>
        <v>0.48749999999999999</v>
      </c>
      <c r="K740" s="8">
        <f>Table1[[#This Row],[PartyBVotes]]/Table1[[#This Row],[RegisteredVoters]]</f>
        <v>0.46250000000000002</v>
      </c>
      <c r="L740" s="8">
        <f>Table1[[#This Row],[PartyCVotes]]/Table1[[#This Row],[RegisteredVoters]]</f>
        <v>1.2500000000000001E-2</v>
      </c>
      <c r="M740">
        <f>ABS(Table1[[#This Row],[PartyAVotes]]-Table1[[#This Row],[PartyBVotes]])</f>
        <v>20</v>
      </c>
      <c r="N740" s="11">
        <f>Table1[[#This Row],[TotalVotesCast]]/Table1[[#This Row],[RegisteredVoters]]</f>
        <v>0.96250000000000002</v>
      </c>
      <c r="O740" t="str">
        <f>IF(Table1[[#This Row],[RegisteredVoters]]=Table1[[#This Row],[TotalVotesCast]],"Match","")</f>
        <v/>
      </c>
    </row>
    <row r="741" spans="1:15" ht="13.2">
      <c r="A741" s="1" t="s">
        <v>862</v>
      </c>
      <c r="B741" t="s">
        <v>15</v>
      </c>
      <c r="C741" t="s">
        <v>16</v>
      </c>
      <c r="D741" t="s">
        <v>828</v>
      </c>
      <c r="E741">
        <v>1100</v>
      </c>
      <c r="F741">
        <v>540</v>
      </c>
      <c r="G741">
        <v>520</v>
      </c>
      <c r="H741">
        <v>15</v>
      </c>
      <c r="I741">
        <v>1075</v>
      </c>
      <c r="J741" s="8">
        <f>Table1[[#This Row],[PartyAVotes]]/Table1[[#This Row],[RegisteredVoters]]</f>
        <v>0.49090909090909091</v>
      </c>
      <c r="K741" s="8">
        <f>Table1[[#This Row],[PartyBVotes]]/Table1[[#This Row],[RegisteredVoters]]</f>
        <v>0.47272727272727272</v>
      </c>
      <c r="L741" s="8">
        <f>Table1[[#This Row],[PartyCVotes]]/Table1[[#This Row],[RegisteredVoters]]</f>
        <v>1.3636363636363636E-2</v>
      </c>
      <c r="M741">
        <f>ABS(Table1[[#This Row],[PartyAVotes]]-Table1[[#This Row],[PartyBVotes]])</f>
        <v>20</v>
      </c>
      <c r="N741" s="11">
        <f>Table1[[#This Row],[TotalVotesCast]]/Table1[[#This Row],[RegisteredVoters]]</f>
        <v>0.97727272727272729</v>
      </c>
      <c r="O741" t="str">
        <f>IF(Table1[[#This Row],[RegisteredVoters]]=Table1[[#This Row],[TotalVotesCast]],"Match","")</f>
        <v/>
      </c>
    </row>
    <row r="742" spans="1:15" ht="13.2">
      <c r="A742" s="1" t="s">
        <v>863</v>
      </c>
      <c r="B742" t="s">
        <v>18</v>
      </c>
      <c r="C742" t="s">
        <v>20</v>
      </c>
      <c r="D742" t="s">
        <v>864</v>
      </c>
      <c r="E742">
        <v>1190</v>
      </c>
      <c r="F742">
        <v>590</v>
      </c>
      <c r="G742">
        <v>570</v>
      </c>
      <c r="H742">
        <v>15</v>
      </c>
      <c r="I742">
        <v>1175</v>
      </c>
      <c r="J742" s="8">
        <f>Table1[[#This Row],[PartyAVotes]]/Table1[[#This Row],[RegisteredVoters]]</f>
        <v>0.49579831932773111</v>
      </c>
      <c r="K742" s="8">
        <f>Table1[[#This Row],[PartyBVotes]]/Table1[[#This Row],[RegisteredVoters]]</f>
        <v>0.47899159663865548</v>
      </c>
      <c r="L742" s="8">
        <f>Table1[[#This Row],[PartyCVotes]]/Table1[[#This Row],[RegisteredVoters]]</f>
        <v>1.2605042016806723E-2</v>
      </c>
      <c r="M742">
        <f>ABS(Table1[[#This Row],[PartyAVotes]]-Table1[[#This Row],[PartyBVotes]])</f>
        <v>20</v>
      </c>
      <c r="N742" s="11">
        <f>Table1[[#This Row],[TotalVotesCast]]/Table1[[#This Row],[RegisteredVoters]]</f>
        <v>0.98739495798319332</v>
      </c>
      <c r="O742" t="str">
        <f>IF(Table1[[#This Row],[RegisteredVoters]]=Table1[[#This Row],[TotalVotesCast]],"Match","")</f>
        <v/>
      </c>
    </row>
    <row r="743" spans="1:15" ht="13.2">
      <c r="A743" s="1" t="s">
        <v>865</v>
      </c>
      <c r="B743" t="s">
        <v>21</v>
      </c>
      <c r="C743" t="s">
        <v>22</v>
      </c>
      <c r="D743" t="s">
        <v>819</v>
      </c>
      <c r="E743">
        <v>1450</v>
      </c>
      <c r="F743">
        <v>710</v>
      </c>
      <c r="G743">
        <v>680</v>
      </c>
      <c r="H743">
        <v>25</v>
      </c>
      <c r="I743">
        <v>1415</v>
      </c>
      <c r="J743" s="8">
        <f>Table1[[#This Row],[PartyAVotes]]/Table1[[#This Row],[RegisteredVoters]]</f>
        <v>0.48965517241379308</v>
      </c>
      <c r="K743" s="8">
        <f>Table1[[#This Row],[PartyBVotes]]/Table1[[#This Row],[RegisteredVoters]]</f>
        <v>0.4689655172413793</v>
      </c>
      <c r="L743" s="8">
        <f>Table1[[#This Row],[PartyCVotes]]/Table1[[#This Row],[RegisteredVoters]]</f>
        <v>1.7241379310344827E-2</v>
      </c>
      <c r="M743">
        <f>ABS(Table1[[#This Row],[PartyAVotes]]-Table1[[#This Row],[PartyBVotes]])</f>
        <v>30</v>
      </c>
      <c r="N743" s="11">
        <f>Table1[[#This Row],[TotalVotesCast]]/Table1[[#This Row],[RegisteredVoters]]</f>
        <v>0.97586206896551719</v>
      </c>
      <c r="O743" t="str">
        <f>IF(Table1[[#This Row],[RegisteredVoters]]=Table1[[#This Row],[TotalVotesCast]],"Match","")</f>
        <v/>
      </c>
    </row>
    <row r="744" spans="1:15" ht="13.2">
      <c r="A744" s="1" t="s">
        <v>866</v>
      </c>
      <c r="B744" t="s">
        <v>10</v>
      </c>
      <c r="C744" t="s">
        <v>14</v>
      </c>
      <c r="D744" t="s">
        <v>774</v>
      </c>
      <c r="E744">
        <v>890</v>
      </c>
      <c r="F744">
        <v>435</v>
      </c>
      <c r="G744">
        <v>415</v>
      </c>
      <c r="H744">
        <v>15</v>
      </c>
      <c r="I744">
        <v>865</v>
      </c>
      <c r="J744" s="8">
        <f>Table1[[#This Row],[PartyAVotes]]/Table1[[#This Row],[RegisteredVoters]]</f>
        <v>0.4887640449438202</v>
      </c>
      <c r="K744" s="8">
        <f>Table1[[#This Row],[PartyBVotes]]/Table1[[#This Row],[RegisteredVoters]]</f>
        <v>0.46629213483146065</v>
      </c>
      <c r="L744" s="8">
        <f>Table1[[#This Row],[PartyCVotes]]/Table1[[#This Row],[RegisteredVoters]]</f>
        <v>1.6853932584269662E-2</v>
      </c>
      <c r="M744">
        <f>ABS(Table1[[#This Row],[PartyAVotes]]-Table1[[#This Row],[PartyBVotes]])</f>
        <v>20</v>
      </c>
      <c r="N744" s="11">
        <f>Table1[[#This Row],[TotalVotesCast]]/Table1[[#This Row],[RegisteredVoters]]</f>
        <v>0.9719101123595506</v>
      </c>
      <c r="O744" t="str">
        <f>IF(Table1[[#This Row],[RegisteredVoters]]=Table1[[#This Row],[TotalVotesCast]],"Match","")</f>
        <v/>
      </c>
    </row>
    <row r="745" spans="1:15" ht="13.2">
      <c r="A745" s="1" t="s">
        <v>867</v>
      </c>
      <c r="B745" t="s">
        <v>15</v>
      </c>
      <c r="C745" t="s">
        <v>17</v>
      </c>
      <c r="D745" t="s">
        <v>756</v>
      </c>
      <c r="E745">
        <v>940</v>
      </c>
      <c r="F745">
        <v>465</v>
      </c>
      <c r="G745">
        <v>445</v>
      </c>
      <c r="H745">
        <v>15</v>
      </c>
      <c r="I745">
        <v>925</v>
      </c>
      <c r="J745" s="8">
        <f>Table1[[#This Row],[PartyAVotes]]/Table1[[#This Row],[RegisteredVoters]]</f>
        <v>0.49468085106382981</v>
      </c>
      <c r="K745" s="8">
        <f>Table1[[#This Row],[PartyBVotes]]/Table1[[#This Row],[RegisteredVoters]]</f>
        <v>0.47340425531914893</v>
      </c>
      <c r="L745" s="8">
        <f>Table1[[#This Row],[PartyCVotes]]/Table1[[#This Row],[RegisteredVoters]]</f>
        <v>1.5957446808510637E-2</v>
      </c>
      <c r="M745">
        <f>ABS(Table1[[#This Row],[PartyAVotes]]-Table1[[#This Row],[PartyBVotes]])</f>
        <v>20</v>
      </c>
      <c r="N745" s="11">
        <f>Table1[[#This Row],[TotalVotesCast]]/Table1[[#This Row],[RegisteredVoters]]</f>
        <v>0.98404255319148937</v>
      </c>
      <c r="O745" t="str">
        <f>IF(Table1[[#This Row],[RegisteredVoters]]=Table1[[#This Row],[TotalVotesCast]],"Match","")</f>
        <v/>
      </c>
    </row>
    <row r="746" spans="1:15" ht="13.2">
      <c r="A746" s="1" t="s">
        <v>868</v>
      </c>
      <c r="B746" t="s">
        <v>18</v>
      </c>
      <c r="C746" t="s">
        <v>19</v>
      </c>
      <c r="D746" t="s">
        <v>783</v>
      </c>
      <c r="E746">
        <v>1210</v>
      </c>
      <c r="F746">
        <v>600</v>
      </c>
      <c r="G746">
        <v>575</v>
      </c>
      <c r="H746">
        <v>20</v>
      </c>
      <c r="I746">
        <v>1195</v>
      </c>
      <c r="J746" s="8">
        <f>Table1[[#This Row],[PartyAVotes]]/Table1[[#This Row],[RegisteredVoters]]</f>
        <v>0.49586776859504134</v>
      </c>
      <c r="K746" s="8">
        <f>Table1[[#This Row],[PartyBVotes]]/Table1[[#This Row],[RegisteredVoters]]</f>
        <v>0.47520661157024796</v>
      </c>
      <c r="L746" s="8">
        <f>Table1[[#This Row],[PartyCVotes]]/Table1[[#This Row],[RegisteredVoters]]</f>
        <v>1.6528925619834711E-2</v>
      </c>
      <c r="M746">
        <f>ABS(Table1[[#This Row],[PartyAVotes]]-Table1[[#This Row],[PartyBVotes]])</f>
        <v>25</v>
      </c>
      <c r="N746" s="11">
        <f>Table1[[#This Row],[TotalVotesCast]]/Table1[[#This Row],[RegisteredVoters]]</f>
        <v>0.98760330578512401</v>
      </c>
      <c r="O746" t="str">
        <f>IF(Table1[[#This Row],[RegisteredVoters]]=Table1[[#This Row],[TotalVotesCast]],"Match","")</f>
        <v/>
      </c>
    </row>
    <row r="747" spans="1:15" ht="13.2">
      <c r="A747" s="1" t="s">
        <v>869</v>
      </c>
      <c r="B747" t="s">
        <v>21</v>
      </c>
      <c r="C747" t="s">
        <v>23</v>
      </c>
      <c r="D747" t="s">
        <v>765</v>
      </c>
      <c r="E747">
        <v>1270</v>
      </c>
      <c r="F747">
        <v>630</v>
      </c>
      <c r="G747">
        <v>605</v>
      </c>
      <c r="H747">
        <v>20</v>
      </c>
      <c r="I747">
        <v>1255</v>
      </c>
      <c r="J747" s="8">
        <f>Table1[[#This Row],[PartyAVotes]]/Table1[[#This Row],[RegisteredVoters]]</f>
        <v>0.49606299212598426</v>
      </c>
      <c r="K747" s="8">
        <f>Table1[[#This Row],[PartyBVotes]]/Table1[[#This Row],[RegisteredVoters]]</f>
        <v>0.4763779527559055</v>
      </c>
      <c r="L747" s="8">
        <f>Table1[[#This Row],[PartyCVotes]]/Table1[[#This Row],[RegisteredVoters]]</f>
        <v>1.5748031496062992E-2</v>
      </c>
      <c r="M747">
        <f>ABS(Table1[[#This Row],[PartyAVotes]]-Table1[[#This Row],[PartyBVotes]])</f>
        <v>25</v>
      </c>
      <c r="N747" s="11">
        <f>Table1[[#This Row],[TotalVotesCast]]/Table1[[#This Row],[RegisteredVoters]]</f>
        <v>0.98818897637795278</v>
      </c>
      <c r="O747" t="str">
        <f>IF(Table1[[#This Row],[RegisteredVoters]]=Table1[[#This Row],[TotalVotesCast]],"Match","")</f>
        <v/>
      </c>
    </row>
    <row r="748" spans="1:15" ht="13.2">
      <c r="A748" s="1" t="s">
        <v>870</v>
      </c>
      <c r="B748" t="s">
        <v>10</v>
      </c>
      <c r="C748" t="s">
        <v>11</v>
      </c>
      <c r="D748" t="s">
        <v>837</v>
      </c>
      <c r="E748">
        <v>810</v>
      </c>
      <c r="F748">
        <v>395</v>
      </c>
      <c r="G748">
        <v>375</v>
      </c>
      <c r="H748">
        <v>10</v>
      </c>
      <c r="I748">
        <v>780</v>
      </c>
      <c r="J748" s="8">
        <f>Table1[[#This Row],[PartyAVotes]]/Table1[[#This Row],[RegisteredVoters]]</f>
        <v>0.48765432098765432</v>
      </c>
      <c r="K748" s="8">
        <f>Table1[[#This Row],[PartyBVotes]]/Table1[[#This Row],[RegisteredVoters]]</f>
        <v>0.46296296296296297</v>
      </c>
      <c r="L748" s="8">
        <f>Table1[[#This Row],[PartyCVotes]]/Table1[[#This Row],[RegisteredVoters]]</f>
        <v>1.2345679012345678E-2</v>
      </c>
      <c r="M748">
        <f>ABS(Table1[[#This Row],[PartyAVotes]]-Table1[[#This Row],[PartyBVotes]])</f>
        <v>20</v>
      </c>
      <c r="N748" s="11">
        <f>Table1[[#This Row],[TotalVotesCast]]/Table1[[#This Row],[RegisteredVoters]]</f>
        <v>0.96296296296296291</v>
      </c>
      <c r="O748" t="str">
        <f>IF(Table1[[#This Row],[RegisteredVoters]]=Table1[[#This Row],[TotalVotesCast]],"Match","")</f>
        <v/>
      </c>
    </row>
    <row r="749" spans="1:15" ht="13.2">
      <c r="A749" s="1" t="s">
        <v>871</v>
      </c>
      <c r="B749" t="s">
        <v>15</v>
      </c>
      <c r="C749" t="s">
        <v>16</v>
      </c>
      <c r="D749" t="s">
        <v>837</v>
      </c>
      <c r="E749">
        <v>1110</v>
      </c>
      <c r="F749">
        <v>545</v>
      </c>
      <c r="G749">
        <v>525</v>
      </c>
      <c r="H749">
        <v>15</v>
      </c>
      <c r="I749">
        <v>1085</v>
      </c>
      <c r="J749" s="8">
        <f>Table1[[#This Row],[PartyAVotes]]/Table1[[#This Row],[RegisteredVoters]]</f>
        <v>0.49099099099099097</v>
      </c>
      <c r="K749" s="8">
        <f>Table1[[#This Row],[PartyBVotes]]/Table1[[#This Row],[RegisteredVoters]]</f>
        <v>0.47297297297297297</v>
      </c>
      <c r="L749" s="8">
        <f>Table1[[#This Row],[PartyCVotes]]/Table1[[#This Row],[RegisteredVoters]]</f>
        <v>1.3513513513513514E-2</v>
      </c>
      <c r="M749">
        <f>ABS(Table1[[#This Row],[PartyAVotes]]-Table1[[#This Row],[PartyBVotes]])</f>
        <v>20</v>
      </c>
      <c r="N749" s="11">
        <f>Table1[[#This Row],[TotalVotesCast]]/Table1[[#This Row],[RegisteredVoters]]</f>
        <v>0.97747747747747749</v>
      </c>
      <c r="O749" t="str">
        <f>IF(Table1[[#This Row],[RegisteredVoters]]=Table1[[#This Row],[TotalVotesCast]],"Match","")</f>
        <v/>
      </c>
    </row>
    <row r="750" spans="1:15" ht="13.2">
      <c r="A750" s="1" t="s">
        <v>872</v>
      </c>
      <c r="B750" t="s">
        <v>18</v>
      </c>
      <c r="C750" t="s">
        <v>20</v>
      </c>
      <c r="D750" t="s">
        <v>873</v>
      </c>
      <c r="E750">
        <v>1200</v>
      </c>
      <c r="F750">
        <v>595</v>
      </c>
      <c r="G750">
        <v>575</v>
      </c>
      <c r="H750">
        <v>15</v>
      </c>
      <c r="I750">
        <v>1185</v>
      </c>
      <c r="J750" s="8">
        <f>Table1[[#This Row],[PartyAVotes]]/Table1[[#This Row],[RegisteredVoters]]</f>
        <v>0.49583333333333335</v>
      </c>
      <c r="K750" s="8">
        <f>Table1[[#This Row],[PartyBVotes]]/Table1[[#This Row],[RegisteredVoters]]</f>
        <v>0.47916666666666669</v>
      </c>
      <c r="L750" s="8">
        <f>Table1[[#This Row],[PartyCVotes]]/Table1[[#This Row],[RegisteredVoters]]</f>
        <v>1.2500000000000001E-2</v>
      </c>
      <c r="M750">
        <f>ABS(Table1[[#This Row],[PartyAVotes]]-Table1[[#This Row],[PartyBVotes]])</f>
        <v>20</v>
      </c>
      <c r="N750" s="11">
        <f>Table1[[#This Row],[TotalVotesCast]]/Table1[[#This Row],[RegisteredVoters]]</f>
        <v>0.98750000000000004</v>
      </c>
      <c r="O750" t="str">
        <f>IF(Table1[[#This Row],[RegisteredVoters]]=Table1[[#This Row],[TotalVotesCast]],"Match","")</f>
        <v/>
      </c>
    </row>
    <row r="751" spans="1:15" ht="13.2">
      <c r="A751" s="1" t="s">
        <v>874</v>
      </c>
      <c r="B751" t="s">
        <v>21</v>
      </c>
      <c r="C751" t="s">
        <v>22</v>
      </c>
      <c r="D751" t="s">
        <v>828</v>
      </c>
      <c r="E751">
        <v>1460</v>
      </c>
      <c r="F751">
        <v>715</v>
      </c>
      <c r="G751">
        <v>685</v>
      </c>
      <c r="H751">
        <v>25</v>
      </c>
      <c r="I751">
        <v>1425</v>
      </c>
      <c r="J751" s="8">
        <f>Table1[[#This Row],[PartyAVotes]]/Table1[[#This Row],[RegisteredVoters]]</f>
        <v>0.48972602739726029</v>
      </c>
      <c r="K751" s="8">
        <f>Table1[[#This Row],[PartyBVotes]]/Table1[[#This Row],[RegisteredVoters]]</f>
        <v>0.46917808219178081</v>
      </c>
      <c r="L751" s="8">
        <f>Table1[[#This Row],[PartyCVotes]]/Table1[[#This Row],[RegisteredVoters]]</f>
        <v>1.7123287671232876E-2</v>
      </c>
      <c r="M751">
        <f>ABS(Table1[[#This Row],[PartyAVotes]]-Table1[[#This Row],[PartyBVotes]])</f>
        <v>30</v>
      </c>
      <c r="N751" s="11">
        <f>Table1[[#This Row],[TotalVotesCast]]/Table1[[#This Row],[RegisteredVoters]]</f>
        <v>0.97602739726027399</v>
      </c>
      <c r="O751" t="str">
        <f>IF(Table1[[#This Row],[RegisteredVoters]]=Table1[[#This Row],[TotalVotesCast]],"Match","")</f>
        <v/>
      </c>
    </row>
    <row r="752" spans="1:15" ht="13.2">
      <c r="A752" s="1" t="s">
        <v>875</v>
      </c>
      <c r="B752" t="s">
        <v>10</v>
      </c>
      <c r="C752" t="s">
        <v>14</v>
      </c>
      <c r="D752" t="s">
        <v>783</v>
      </c>
      <c r="E752">
        <v>900</v>
      </c>
      <c r="F752">
        <v>440</v>
      </c>
      <c r="G752">
        <v>420</v>
      </c>
      <c r="H752">
        <v>15</v>
      </c>
      <c r="I752">
        <v>875</v>
      </c>
      <c r="J752" s="8">
        <f>Table1[[#This Row],[PartyAVotes]]/Table1[[#This Row],[RegisteredVoters]]</f>
        <v>0.48888888888888887</v>
      </c>
      <c r="K752" s="8">
        <f>Table1[[#This Row],[PartyBVotes]]/Table1[[#This Row],[RegisteredVoters]]</f>
        <v>0.46666666666666667</v>
      </c>
      <c r="L752" s="8">
        <f>Table1[[#This Row],[PartyCVotes]]/Table1[[#This Row],[RegisteredVoters]]</f>
        <v>1.6666666666666666E-2</v>
      </c>
      <c r="M752">
        <f>ABS(Table1[[#This Row],[PartyAVotes]]-Table1[[#This Row],[PartyBVotes]])</f>
        <v>20</v>
      </c>
      <c r="N752" s="11">
        <f>Table1[[#This Row],[TotalVotesCast]]/Table1[[#This Row],[RegisteredVoters]]</f>
        <v>0.97222222222222221</v>
      </c>
      <c r="O752" t="str">
        <f>IF(Table1[[#This Row],[RegisteredVoters]]=Table1[[#This Row],[TotalVotesCast]],"Match","")</f>
        <v/>
      </c>
    </row>
    <row r="753" spans="1:15" ht="13.2">
      <c r="A753" s="1" t="s">
        <v>876</v>
      </c>
      <c r="B753" t="s">
        <v>15</v>
      </c>
      <c r="C753" t="s">
        <v>17</v>
      </c>
      <c r="D753" t="s">
        <v>765</v>
      </c>
      <c r="E753">
        <v>950</v>
      </c>
      <c r="F753">
        <v>470</v>
      </c>
      <c r="G753">
        <v>450</v>
      </c>
      <c r="H753">
        <v>15</v>
      </c>
      <c r="I753">
        <v>935</v>
      </c>
      <c r="J753" s="8">
        <f>Table1[[#This Row],[PartyAVotes]]/Table1[[#This Row],[RegisteredVoters]]</f>
        <v>0.49473684210526314</v>
      </c>
      <c r="K753" s="8">
        <f>Table1[[#This Row],[PartyBVotes]]/Table1[[#This Row],[RegisteredVoters]]</f>
        <v>0.47368421052631576</v>
      </c>
      <c r="L753" s="8">
        <f>Table1[[#This Row],[PartyCVotes]]/Table1[[#This Row],[RegisteredVoters]]</f>
        <v>1.5789473684210527E-2</v>
      </c>
      <c r="M753">
        <f>ABS(Table1[[#This Row],[PartyAVotes]]-Table1[[#This Row],[PartyBVotes]])</f>
        <v>20</v>
      </c>
      <c r="N753" s="11">
        <f>Table1[[#This Row],[TotalVotesCast]]/Table1[[#This Row],[RegisteredVoters]]</f>
        <v>0.98421052631578942</v>
      </c>
      <c r="O753" t="str">
        <f>IF(Table1[[#This Row],[RegisteredVoters]]=Table1[[#This Row],[TotalVotesCast]],"Match","")</f>
        <v/>
      </c>
    </row>
    <row r="754" spans="1:15" ht="13.2">
      <c r="A754" s="1" t="s">
        <v>877</v>
      </c>
      <c r="B754" t="s">
        <v>18</v>
      </c>
      <c r="C754" t="s">
        <v>19</v>
      </c>
      <c r="D754" t="s">
        <v>792</v>
      </c>
      <c r="E754">
        <v>1220</v>
      </c>
      <c r="F754">
        <v>605</v>
      </c>
      <c r="G754">
        <v>580</v>
      </c>
      <c r="H754">
        <v>20</v>
      </c>
      <c r="I754">
        <v>1205</v>
      </c>
      <c r="J754" s="8">
        <f>Table1[[#This Row],[PartyAVotes]]/Table1[[#This Row],[RegisteredVoters]]</f>
        <v>0.49590163934426229</v>
      </c>
      <c r="K754" s="8">
        <f>Table1[[#This Row],[PartyBVotes]]/Table1[[#This Row],[RegisteredVoters]]</f>
        <v>0.47540983606557374</v>
      </c>
      <c r="L754" s="8">
        <f>Table1[[#This Row],[PartyCVotes]]/Table1[[#This Row],[RegisteredVoters]]</f>
        <v>1.6393442622950821E-2</v>
      </c>
      <c r="M754">
        <f>ABS(Table1[[#This Row],[PartyAVotes]]-Table1[[#This Row],[PartyBVotes]])</f>
        <v>25</v>
      </c>
      <c r="N754" s="11">
        <f>Table1[[#This Row],[TotalVotesCast]]/Table1[[#This Row],[RegisteredVoters]]</f>
        <v>0.98770491803278693</v>
      </c>
      <c r="O754" t="str">
        <f>IF(Table1[[#This Row],[RegisteredVoters]]=Table1[[#This Row],[TotalVotesCast]],"Match","")</f>
        <v/>
      </c>
    </row>
    <row r="755" spans="1:15" ht="13.2">
      <c r="A755" s="1" t="s">
        <v>878</v>
      </c>
      <c r="B755" t="s">
        <v>21</v>
      </c>
      <c r="C755" t="s">
        <v>23</v>
      </c>
      <c r="D755" t="s">
        <v>774</v>
      </c>
      <c r="E755">
        <v>1280</v>
      </c>
      <c r="F755">
        <v>635</v>
      </c>
      <c r="G755">
        <v>610</v>
      </c>
      <c r="H755">
        <v>20</v>
      </c>
      <c r="I755">
        <v>1265</v>
      </c>
      <c r="J755" s="8">
        <f>Table1[[#This Row],[PartyAVotes]]/Table1[[#This Row],[RegisteredVoters]]</f>
        <v>0.49609375</v>
      </c>
      <c r="K755" s="8">
        <f>Table1[[#This Row],[PartyBVotes]]/Table1[[#This Row],[RegisteredVoters]]</f>
        <v>0.4765625</v>
      </c>
      <c r="L755" s="8">
        <f>Table1[[#This Row],[PartyCVotes]]/Table1[[#This Row],[RegisteredVoters]]</f>
        <v>1.5625E-2</v>
      </c>
      <c r="M755">
        <f>ABS(Table1[[#This Row],[PartyAVotes]]-Table1[[#This Row],[PartyBVotes]])</f>
        <v>25</v>
      </c>
      <c r="N755" s="11">
        <f>Table1[[#This Row],[TotalVotesCast]]/Table1[[#This Row],[RegisteredVoters]]</f>
        <v>0.98828125</v>
      </c>
      <c r="O755" t="str">
        <f>IF(Table1[[#This Row],[RegisteredVoters]]=Table1[[#This Row],[TotalVotesCast]],"Match","")</f>
        <v/>
      </c>
    </row>
    <row r="756" spans="1:15" ht="13.2">
      <c r="A756" s="1" t="s">
        <v>879</v>
      </c>
      <c r="B756" t="s">
        <v>10</v>
      </c>
      <c r="C756" t="s">
        <v>11</v>
      </c>
      <c r="D756" t="s">
        <v>846</v>
      </c>
      <c r="E756">
        <v>820</v>
      </c>
      <c r="F756">
        <v>400</v>
      </c>
      <c r="G756">
        <v>380</v>
      </c>
      <c r="H756">
        <v>10</v>
      </c>
      <c r="I756">
        <v>790</v>
      </c>
      <c r="J756" s="8">
        <f>Table1[[#This Row],[PartyAVotes]]/Table1[[#This Row],[RegisteredVoters]]</f>
        <v>0.48780487804878048</v>
      </c>
      <c r="K756" s="8">
        <f>Table1[[#This Row],[PartyBVotes]]/Table1[[#This Row],[RegisteredVoters]]</f>
        <v>0.46341463414634149</v>
      </c>
      <c r="L756" s="8">
        <f>Table1[[#This Row],[PartyCVotes]]/Table1[[#This Row],[RegisteredVoters]]</f>
        <v>1.2195121951219513E-2</v>
      </c>
      <c r="M756">
        <f>ABS(Table1[[#This Row],[PartyAVotes]]-Table1[[#This Row],[PartyBVotes]])</f>
        <v>20</v>
      </c>
      <c r="N756" s="11">
        <f>Table1[[#This Row],[TotalVotesCast]]/Table1[[#This Row],[RegisteredVoters]]</f>
        <v>0.96341463414634143</v>
      </c>
      <c r="O756" t="str">
        <f>IF(Table1[[#This Row],[RegisteredVoters]]=Table1[[#This Row],[TotalVotesCast]],"Match","")</f>
        <v/>
      </c>
    </row>
    <row r="757" spans="1:15" ht="13.2">
      <c r="A757" s="1" t="s">
        <v>880</v>
      </c>
      <c r="B757" t="s">
        <v>15</v>
      </c>
      <c r="C757" t="s">
        <v>16</v>
      </c>
      <c r="D757" t="s">
        <v>846</v>
      </c>
      <c r="E757">
        <v>1120</v>
      </c>
      <c r="F757">
        <v>550</v>
      </c>
      <c r="G757">
        <v>530</v>
      </c>
      <c r="H757">
        <v>15</v>
      </c>
      <c r="I757">
        <v>1095</v>
      </c>
      <c r="J757" s="8">
        <f>Table1[[#This Row],[PartyAVotes]]/Table1[[#This Row],[RegisteredVoters]]</f>
        <v>0.49107142857142855</v>
      </c>
      <c r="K757" s="8">
        <f>Table1[[#This Row],[PartyBVotes]]/Table1[[#This Row],[RegisteredVoters]]</f>
        <v>0.4732142857142857</v>
      </c>
      <c r="L757" s="8">
        <f>Table1[[#This Row],[PartyCVotes]]/Table1[[#This Row],[RegisteredVoters]]</f>
        <v>1.3392857142857142E-2</v>
      </c>
      <c r="M757">
        <f>ABS(Table1[[#This Row],[PartyAVotes]]-Table1[[#This Row],[PartyBVotes]])</f>
        <v>20</v>
      </c>
      <c r="N757" s="11">
        <f>Table1[[#This Row],[TotalVotesCast]]/Table1[[#This Row],[RegisteredVoters]]</f>
        <v>0.9776785714285714</v>
      </c>
      <c r="O757" t="str">
        <f>IF(Table1[[#This Row],[RegisteredVoters]]=Table1[[#This Row],[TotalVotesCast]],"Match","")</f>
        <v/>
      </c>
    </row>
    <row r="758" spans="1:15" ht="13.2">
      <c r="A758" s="1" t="s">
        <v>881</v>
      </c>
      <c r="B758" t="s">
        <v>18</v>
      </c>
      <c r="C758" t="s">
        <v>20</v>
      </c>
      <c r="D758" t="s">
        <v>882</v>
      </c>
      <c r="E758">
        <v>1210</v>
      </c>
      <c r="F758">
        <v>600</v>
      </c>
      <c r="G758">
        <v>580</v>
      </c>
      <c r="H758">
        <v>15</v>
      </c>
      <c r="I758">
        <v>1195</v>
      </c>
      <c r="J758" s="8">
        <f>Table1[[#This Row],[PartyAVotes]]/Table1[[#This Row],[RegisteredVoters]]</f>
        <v>0.49586776859504134</v>
      </c>
      <c r="K758" s="8">
        <f>Table1[[#This Row],[PartyBVotes]]/Table1[[#This Row],[RegisteredVoters]]</f>
        <v>0.47933884297520662</v>
      </c>
      <c r="L758" s="8">
        <f>Table1[[#This Row],[PartyCVotes]]/Table1[[#This Row],[RegisteredVoters]]</f>
        <v>1.2396694214876033E-2</v>
      </c>
      <c r="M758">
        <f>ABS(Table1[[#This Row],[PartyAVotes]]-Table1[[#This Row],[PartyBVotes]])</f>
        <v>20</v>
      </c>
      <c r="N758" s="11">
        <f>Table1[[#This Row],[TotalVotesCast]]/Table1[[#This Row],[RegisteredVoters]]</f>
        <v>0.98760330578512401</v>
      </c>
      <c r="O758" t="str">
        <f>IF(Table1[[#This Row],[RegisteredVoters]]=Table1[[#This Row],[TotalVotesCast]],"Match","")</f>
        <v/>
      </c>
    </row>
    <row r="759" spans="1:15" ht="13.2">
      <c r="A759" s="1" t="s">
        <v>883</v>
      </c>
      <c r="B759" t="s">
        <v>21</v>
      </c>
      <c r="C759" t="s">
        <v>22</v>
      </c>
      <c r="D759" t="s">
        <v>837</v>
      </c>
      <c r="E759">
        <v>1470</v>
      </c>
      <c r="F759">
        <v>720</v>
      </c>
      <c r="G759">
        <v>690</v>
      </c>
      <c r="H759">
        <v>25</v>
      </c>
      <c r="I759">
        <v>1435</v>
      </c>
      <c r="J759" s="8">
        <f>Table1[[#This Row],[PartyAVotes]]/Table1[[#This Row],[RegisteredVoters]]</f>
        <v>0.48979591836734693</v>
      </c>
      <c r="K759" s="8">
        <f>Table1[[#This Row],[PartyBVotes]]/Table1[[#This Row],[RegisteredVoters]]</f>
        <v>0.46938775510204084</v>
      </c>
      <c r="L759" s="8">
        <f>Table1[[#This Row],[PartyCVotes]]/Table1[[#This Row],[RegisteredVoters]]</f>
        <v>1.7006802721088437E-2</v>
      </c>
      <c r="M759">
        <f>ABS(Table1[[#This Row],[PartyAVotes]]-Table1[[#This Row],[PartyBVotes]])</f>
        <v>30</v>
      </c>
      <c r="N759" s="11">
        <f>Table1[[#This Row],[TotalVotesCast]]/Table1[[#This Row],[RegisteredVoters]]</f>
        <v>0.97619047619047616</v>
      </c>
      <c r="O759" t="str">
        <f>IF(Table1[[#This Row],[RegisteredVoters]]=Table1[[#This Row],[TotalVotesCast]],"Match","")</f>
        <v/>
      </c>
    </row>
    <row r="760" spans="1:15" ht="13.2">
      <c r="A760" s="1" t="s">
        <v>884</v>
      </c>
      <c r="B760" t="s">
        <v>10</v>
      </c>
      <c r="C760" t="s">
        <v>14</v>
      </c>
      <c r="D760" t="s">
        <v>792</v>
      </c>
      <c r="E760">
        <v>910</v>
      </c>
      <c r="F760">
        <v>445</v>
      </c>
      <c r="G760">
        <v>425</v>
      </c>
      <c r="H760">
        <v>15</v>
      </c>
      <c r="I760">
        <v>885</v>
      </c>
      <c r="J760" s="8">
        <f>Table1[[#This Row],[PartyAVotes]]/Table1[[#This Row],[RegisteredVoters]]</f>
        <v>0.48901098901098899</v>
      </c>
      <c r="K760" s="8">
        <f>Table1[[#This Row],[PartyBVotes]]/Table1[[#This Row],[RegisteredVoters]]</f>
        <v>0.46703296703296704</v>
      </c>
      <c r="L760" s="8">
        <f>Table1[[#This Row],[PartyCVotes]]/Table1[[#This Row],[RegisteredVoters]]</f>
        <v>1.6483516483516484E-2</v>
      </c>
      <c r="M760">
        <f>ABS(Table1[[#This Row],[PartyAVotes]]-Table1[[#This Row],[PartyBVotes]])</f>
        <v>20</v>
      </c>
      <c r="N760" s="11">
        <f>Table1[[#This Row],[TotalVotesCast]]/Table1[[#This Row],[RegisteredVoters]]</f>
        <v>0.97252747252747251</v>
      </c>
      <c r="O760" t="str">
        <f>IF(Table1[[#This Row],[RegisteredVoters]]=Table1[[#This Row],[TotalVotesCast]],"Match","")</f>
        <v/>
      </c>
    </row>
    <row r="761" spans="1:15" ht="13.2">
      <c r="A761" s="1" t="s">
        <v>885</v>
      </c>
      <c r="B761" t="s">
        <v>15</v>
      </c>
      <c r="C761" t="s">
        <v>17</v>
      </c>
      <c r="D761" t="s">
        <v>774</v>
      </c>
      <c r="E761">
        <v>960</v>
      </c>
      <c r="F761">
        <v>475</v>
      </c>
      <c r="G761">
        <v>455</v>
      </c>
      <c r="H761">
        <v>15</v>
      </c>
      <c r="I761">
        <v>945</v>
      </c>
      <c r="J761" s="8">
        <f>Table1[[#This Row],[PartyAVotes]]/Table1[[#This Row],[RegisteredVoters]]</f>
        <v>0.49479166666666669</v>
      </c>
      <c r="K761" s="8">
        <f>Table1[[#This Row],[PartyBVotes]]/Table1[[#This Row],[RegisteredVoters]]</f>
        <v>0.47395833333333331</v>
      </c>
      <c r="L761" s="8">
        <f>Table1[[#This Row],[PartyCVotes]]/Table1[[#This Row],[RegisteredVoters]]</f>
        <v>1.5625E-2</v>
      </c>
      <c r="M761">
        <f>ABS(Table1[[#This Row],[PartyAVotes]]-Table1[[#This Row],[PartyBVotes]])</f>
        <v>20</v>
      </c>
      <c r="N761" s="11">
        <f>Table1[[#This Row],[TotalVotesCast]]/Table1[[#This Row],[RegisteredVoters]]</f>
        <v>0.984375</v>
      </c>
      <c r="O761" t="str">
        <f>IF(Table1[[#This Row],[RegisteredVoters]]=Table1[[#This Row],[TotalVotesCast]],"Match","")</f>
        <v/>
      </c>
    </row>
    <row r="762" spans="1:15" ht="13.2">
      <c r="A762" s="1" t="s">
        <v>886</v>
      </c>
      <c r="B762" t="s">
        <v>18</v>
      </c>
      <c r="C762" t="s">
        <v>19</v>
      </c>
      <c r="D762" t="s">
        <v>801</v>
      </c>
      <c r="E762">
        <v>1230</v>
      </c>
      <c r="F762">
        <v>610</v>
      </c>
      <c r="G762">
        <v>585</v>
      </c>
      <c r="H762">
        <v>20</v>
      </c>
      <c r="I762">
        <v>1215</v>
      </c>
      <c r="J762" s="8">
        <f>Table1[[#This Row],[PartyAVotes]]/Table1[[#This Row],[RegisteredVoters]]</f>
        <v>0.49593495934959347</v>
      </c>
      <c r="K762" s="8">
        <f>Table1[[#This Row],[PartyBVotes]]/Table1[[#This Row],[RegisteredVoters]]</f>
        <v>0.47560975609756095</v>
      </c>
      <c r="L762" s="8">
        <f>Table1[[#This Row],[PartyCVotes]]/Table1[[#This Row],[RegisteredVoters]]</f>
        <v>1.6260162601626018E-2</v>
      </c>
      <c r="M762">
        <f>ABS(Table1[[#This Row],[PartyAVotes]]-Table1[[#This Row],[PartyBVotes]])</f>
        <v>25</v>
      </c>
      <c r="N762" s="11">
        <f>Table1[[#This Row],[TotalVotesCast]]/Table1[[#This Row],[RegisteredVoters]]</f>
        <v>0.98780487804878048</v>
      </c>
      <c r="O762" t="str">
        <f>IF(Table1[[#This Row],[RegisteredVoters]]=Table1[[#This Row],[TotalVotesCast]],"Match","")</f>
        <v/>
      </c>
    </row>
    <row r="763" spans="1:15" ht="13.2">
      <c r="A763" s="1" t="s">
        <v>887</v>
      </c>
      <c r="B763" t="s">
        <v>21</v>
      </c>
      <c r="C763" t="s">
        <v>23</v>
      </c>
      <c r="D763" t="s">
        <v>783</v>
      </c>
      <c r="E763">
        <v>1290</v>
      </c>
      <c r="F763">
        <v>640</v>
      </c>
      <c r="G763">
        <v>615</v>
      </c>
      <c r="H763">
        <v>20</v>
      </c>
      <c r="I763">
        <v>1275</v>
      </c>
      <c r="J763" s="8">
        <f>Table1[[#This Row],[PartyAVotes]]/Table1[[#This Row],[RegisteredVoters]]</f>
        <v>0.49612403100775193</v>
      </c>
      <c r="K763" s="8">
        <f>Table1[[#This Row],[PartyBVotes]]/Table1[[#This Row],[RegisteredVoters]]</f>
        <v>0.47674418604651164</v>
      </c>
      <c r="L763" s="8">
        <f>Table1[[#This Row],[PartyCVotes]]/Table1[[#This Row],[RegisteredVoters]]</f>
        <v>1.5503875968992248E-2</v>
      </c>
      <c r="M763">
        <f>ABS(Table1[[#This Row],[PartyAVotes]]-Table1[[#This Row],[PartyBVotes]])</f>
        <v>25</v>
      </c>
      <c r="N763" s="11">
        <f>Table1[[#This Row],[TotalVotesCast]]/Table1[[#This Row],[RegisteredVoters]]</f>
        <v>0.98837209302325579</v>
      </c>
      <c r="O763" t="str">
        <f>IF(Table1[[#This Row],[RegisteredVoters]]=Table1[[#This Row],[TotalVotesCast]],"Match","")</f>
        <v/>
      </c>
    </row>
    <row r="764" spans="1:15" ht="13.2">
      <c r="A764" s="1" t="s">
        <v>888</v>
      </c>
      <c r="B764" t="s">
        <v>10</v>
      </c>
      <c r="C764" t="s">
        <v>11</v>
      </c>
      <c r="D764" t="s">
        <v>855</v>
      </c>
      <c r="E764">
        <v>830</v>
      </c>
      <c r="F764">
        <v>405</v>
      </c>
      <c r="G764">
        <v>385</v>
      </c>
      <c r="H764">
        <v>10</v>
      </c>
      <c r="I764">
        <v>800</v>
      </c>
      <c r="J764" s="8">
        <f>Table1[[#This Row],[PartyAVotes]]/Table1[[#This Row],[RegisteredVoters]]</f>
        <v>0.48795180722891568</v>
      </c>
      <c r="K764" s="8">
        <f>Table1[[#This Row],[PartyBVotes]]/Table1[[#This Row],[RegisteredVoters]]</f>
        <v>0.46385542168674698</v>
      </c>
      <c r="L764" s="8">
        <f>Table1[[#This Row],[PartyCVotes]]/Table1[[#This Row],[RegisteredVoters]]</f>
        <v>1.2048192771084338E-2</v>
      </c>
      <c r="M764">
        <f>ABS(Table1[[#This Row],[PartyAVotes]]-Table1[[#This Row],[PartyBVotes]])</f>
        <v>20</v>
      </c>
      <c r="N764" s="11">
        <f>Table1[[#This Row],[TotalVotesCast]]/Table1[[#This Row],[RegisteredVoters]]</f>
        <v>0.96385542168674698</v>
      </c>
      <c r="O764" t="str">
        <f>IF(Table1[[#This Row],[RegisteredVoters]]=Table1[[#This Row],[TotalVotesCast]],"Match","")</f>
        <v/>
      </c>
    </row>
    <row r="765" spans="1:15" ht="13.2">
      <c r="A765" s="1" t="s">
        <v>889</v>
      </c>
      <c r="B765" t="s">
        <v>15</v>
      </c>
      <c r="C765" t="s">
        <v>16</v>
      </c>
      <c r="D765" t="s">
        <v>855</v>
      </c>
      <c r="E765">
        <v>1130</v>
      </c>
      <c r="F765">
        <v>555</v>
      </c>
      <c r="G765">
        <v>535</v>
      </c>
      <c r="H765">
        <v>15</v>
      </c>
      <c r="I765">
        <v>1105</v>
      </c>
      <c r="J765" s="8">
        <f>Table1[[#This Row],[PartyAVotes]]/Table1[[#This Row],[RegisteredVoters]]</f>
        <v>0.49115044247787609</v>
      </c>
      <c r="K765" s="8">
        <f>Table1[[#This Row],[PartyBVotes]]/Table1[[#This Row],[RegisteredVoters]]</f>
        <v>0.47345132743362833</v>
      </c>
      <c r="L765" s="8">
        <f>Table1[[#This Row],[PartyCVotes]]/Table1[[#This Row],[RegisteredVoters]]</f>
        <v>1.3274336283185841E-2</v>
      </c>
      <c r="M765">
        <f>ABS(Table1[[#This Row],[PartyAVotes]]-Table1[[#This Row],[PartyBVotes]])</f>
        <v>20</v>
      </c>
      <c r="N765" s="11">
        <f>Table1[[#This Row],[TotalVotesCast]]/Table1[[#This Row],[RegisteredVoters]]</f>
        <v>0.97787610619469023</v>
      </c>
      <c r="O765" t="str">
        <f>IF(Table1[[#This Row],[RegisteredVoters]]=Table1[[#This Row],[TotalVotesCast]],"Match","")</f>
        <v/>
      </c>
    </row>
    <row r="766" spans="1:15" ht="13.2">
      <c r="A766" s="1" t="s">
        <v>890</v>
      </c>
      <c r="B766" t="s">
        <v>18</v>
      </c>
      <c r="C766" t="s">
        <v>20</v>
      </c>
      <c r="D766" t="s">
        <v>891</v>
      </c>
      <c r="E766">
        <v>1220</v>
      </c>
      <c r="F766">
        <v>605</v>
      </c>
      <c r="G766">
        <v>585</v>
      </c>
      <c r="H766">
        <v>15</v>
      </c>
      <c r="I766">
        <v>1205</v>
      </c>
      <c r="J766" s="8">
        <f>Table1[[#This Row],[PartyAVotes]]/Table1[[#This Row],[RegisteredVoters]]</f>
        <v>0.49590163934426229</v>
      </c>
      <c r="K766" s="8">
        <f>Table1[[#This Row],[PartyBVotes]]/Table1[[#This Row],[RegisteredVoters]]</f>
        <v>0.47950819672131145</v>
      </c>
      <c r="L766" s="8">
        <f>Table1[[#This Row],[PartyCVotes]]/Table1[[#This Row],[RegisteredVoters]]</f>
        <v>1.2295081967213115E-2</v>
      </c>
      <c r="M766">
        <f>ABS(Table1[[#This Row],[PartyAVotes]]-Table1[[#This Row],[PartyBVotes]])</f>
        <v>20</v>
      </c>
      <c r="N766" s="11">
        <f>Table1[[#This Row],[TotalVotesCast]]/Table1[[#This Row],[RegisteredVoters]]</f>
        <v>0.98770491803278693</v>
      </c>
      <c r="O766" t="str">
        <f>IF(Table1[[#This Row],[RegisteredVoters]]=Table1[[#This Row],[TotalVotesCast]],"Match","")</f>
        <v/>
      </c>
    </row>
    <row r="767" spans="1:15" ht="13.2">
      <c r="A767" s="1" t="s">
        <v>892</v>
      </c>
      <c r="B767" t="s">
        <v>21</v>
      </c>
      <c r="C767" t="s">
        <v>22</v>
      </c>
      <c r="D767" t="s">
        <v>846</v>
      </c>
      <c r="E767">
        <v>1480</v>
      </c>
      <c r="F767">
        <v>725</v>
      </c>
      <c r="G767">
        <v>695</v>
      </c>
      <c r="H767">
        <v>25</v>
      </c>
      <c r="I767">
        <v>1445</v>
      </c>
      <c r="J767" s="8">
        <f>Table1[[#This Row],[PartyAVotes]]/Table1[[#This Row],[RegisteredVoters]]</f>
        <v>0.48986486486486486</v>
      </c>
      <c r="K767" s="8">
        <f>Table1[[#This Row],[PartyBVotes]]/Table1[[#This Row],[RegisteredVoters]]</f>
        <v>0.46959459459459457</v>
      </c>
      <c r="L767" s="8">
        <f>Table1[[#This Row],[PartyCVotes]]/Table1[[#This Row],[RegisteredVoters]]</f>
        <v>1.6891891891891893E-2</v>
      </c>
      <c r="M767">
        <f>ABS(Table1[[#This Row],[PartyAVotes]]-Table1[[#This Row],[PartyBVotes]])</f>
        <v>30</v>
      </c>
      <c r="N767" s="11">
        <f>Table1[[#This Row],[TotalVotesCast]]/Table1[[#This Row],[RegisteredVoters]]</f>
        <v>0.97635135135135132</v>
      </c>
      <c r="O767" t="str">
        <f>IF(Table1[[#This Row],[RegisteredVoters]]=Table1[[#This Row],[TotalVotesCast]],"Match","")</f>
        <v/>
      </c>
    </row>
    <row r="768" spans="1:15" ht="13.2">
      <c r="A768" s="1" t="s">
        <v>893</v>
      </c>
      <c r="B768" t="s">
        <v>10</v>
      </c>
      <c r="C768" t="s">
        <v>14</v>
      </c>
      <c r="D768" t="s">
        <v>801</v>
      </c>
      <c r="E768">
        <v>920</v>
      </c>
      <c r="F768">
        <v>450</v>
      </c>
      <c r="G768">
        <v>430</v>
      </c>
      <c r="H768">
        <v>15</v>
      </c>
      <c r="I768">
        <v>895</v>
      </c>
      <c r="J768" s="8">
        <f>Table1[[#This Row],[PartyAVotes]]/Table1[[#This Row],[RegisteredVoters]]</f>
        <v>0.4891304347826087</v>
      </c>
      <c r="K768" s="8">
        <f>Table1[[#This Row],[PartyBVotes]]/Table1[[#This Row],[RegisteredVoters]]</f>
        <v>0.46739130434782611</v>
      </c>
      <c r="L768" s="8">
        <f>Table1[[#This Row],[PartyCVotes]]/Table1[[#This Row],[RegisteredVoters]]</f>
        <v>1.6304347826086956E-2</v>
      </c>
      <c r="M768">
        <f>ABS(Table1[[#This Row],[PartyAVotes]]-Table1[[#This Row],[PartyBVotes]])</f>
        <v>20</v>
      </c>
      <c r="N768" s="11">
        <f>Table1[[#This Row],[TotalVotesCast]]/Table1[[#This Row],[RegisteredVoters]]</f>
        <v>0.97282608695652173</v>
      </c>
      <c r="O768" t="str">
        <f>IF(Table1[[#This Row],[RegisteredVoters]]=Table1[[#This Row],[TotalVotesCast]],"Match","")</f>
        <v/>
      </c>
    </row>
    <row r="769" spans="1:15" ht="13.2">
      <c r="A769" s="1" t="s">
        <v>894</v>
      </c>
      <c r="B769" t="s">
        <v>15</v>
      </c>
      <c r="C769" t="s">
        <v>17</v>
      </c>
      <c r="D769" t="s">
        <v>783</v>
      </c>
      <c r="E769">
        <v>970</v>
      </c>
      <c r="F769">
        <v>480</v>
      </c>
      <c r="G769">
        <v>460</v>
      </c>
      <c r="H769">
        <v>15</v>
      </c>
      <c r="I769">
        <v>955</v>
      </c>
      <c r="J769" s="8">
        <f>Table1[[#This Row],[PartyAVotes]]/Table1[[#This Row],[RegisteredVoters]]</f>
        <v>0.49484536082474229</v>
      </c>
      <c r="K769" s="8">
        <f>Table1[[#This Row],[PartyBVotes]]/Table1[[#This Row],[RegisteredVoters]]</f>
        <v>0.47422680412371132</v>
      </c>
      <c r="L769" s="8">
        <f>Table1[[#This Row],[PartyCVotes]]/Table1[[#This Row],[RegisteredVoters]]</f>
        <v>1.5463917525773196E-2</v>
      </c>
      <c r="M769">
        <f>ABS(Table1[[#This Row],[PartyAVotes]]-Table1[[#This Row],[PartyBVotes]])</f>
        <v>20</v>
      </c>
      <c r="N769" s="11">
        <f>Table1[[#This Row],[TotalVotesCast]]/Table1[[#This Row],[RegisteredVoters]]</f>
        <v>0.98453608247422686</v>
      </c>
      <c r="O769" t="str">
        <f>IF(Table1[[#This Row],[RegisteredVoters]]=Table1[[#This Row],[TotalVotesCast]],"Match","")</f>
        <v/>
      </c>
    </row>
    <row r="770" spans="1:15" ht="13.2">
      <c r="A770" s="1" t="s">
        <v>895</v>
      </c>
      <c r="B770" t="s">
        <v>18</v>
      </c>
      <c r="C770" t="s">
        <v>19</v>
      </c>
      <c r="D770" t="s">
        <v>810</v>
      </c>
      <c r="E770">
        <v>1240</v>
      </c>
      <c r="F770">
        <v>615</v>
      </c>
      <c r="G770">
        <v>590</v>
      </c>
      <c r="H770">
        <v>20</v>
      </c>
      <c r="I770">
        <v>1225</v>
      </c>
      <c r="J770" s="8">
        <f>Table1[[#This Row],[PartyAVotes]]/Table1[[#This Row],[RegisteredVoters]]</f>
        <v>0.49596774193548387</v>
      </c>
      <c r="K770" s="8">
        <f>Table1[[#This Row],[PartyBVotes]]/Table1[[#This Row],[RegisteredVoters]]</f>
        <v>0.47580645161290325</v>
      </c>
      <c r="L770" s="8">
        <f>Table1[[#This Row],[PartyCVotes]]/Table1[[#This Row],[RegisteredVoters]]</f>
        <v>1.6129032258064516E-2</v>
      </c>
      <c r="M770">
        <f>ABS(Table1[[#This Row],[PartyAVotes]]-Table1[[#This Row],[PartyBVotes]])</f>
        <v>25</v>
      </c>
      <c r="N770" s="11">
        <f>Table1[[#This Row],[TotalVotesCast]]/Table1[[#This Row],[RegisteredVoters]]</f>
        <v>0.98790322580645162</v>
      </c>
      <c r="O770" t="str">
        <f>IF(Table1[[#This Row],[RegisteredVoters]]=Table1[[#This Row],[TotalVotesCast]],"Match","")</f>
        <v/>
      </c>
    </row>
    <row r="771" spans="1:15" ht="13.2">
      <c r="A771" s="1" t="s">
        <v>896</v>
      </c>
      <c r="B771" t="s">
        <v>21</v>
      </c>
      <c r="C771" t="s">
        <v>23</v>
      </c>
      <c r="D771" t="s">
        <v>792</v>
      </c>
      <c r="E771">
        <v>1300</v>
      </c>
      <c r="F771">
        <v>645</v>
      </c>
      <c r="G771">
        <v>620</v>
      </c>
      <c r="H771">
        <v>20</v>
      </c>
      <c r="I771">
        <v>1285</v>
      </c>
      <c r="J771" s="8">
        <f>Table1[[#This Row],[PartyAVotes]]/Table1[[#This Row],[RegisteredVoters]]</f>
        <v>0.49615384615384617</v>
      </c>
      <c r="K771" s="8">
        <f>Table1[[#This Row],[PartyBVotes]]/Table1[[#This Row],[RegisteredVoters]]</f>
        <v>0.47692307692307695</v>
      </c>
      <c r="L771" s="8">
        <f>Table1[[#This Row],[PartyCVotes]]/Table1[[#This Row],[RegisteredVoters]]</f>
        <v>1.5384615384615385E-2</v>
      </c>
      <c r="M771">
        <f>ABS(Table1[[#This Row],[PartyAVotes]]-Table1[[#This Row],[PartyBVotes]])</f>
        <v>25</v>
      </c>
      <c r="N771" s="11">
        <f>Table1[[#This Row],[TotalVotesCast]]/Table1[[#This Row],[RegisteredVoters]]</f>
        <v>0.9884615384615385</v>
      </c>
      <c r="O771" t="str">
        <f>IF(Table1[[#This Row],[RegisteredVoters]]=Table1[[#This Row],[TotalVotesCast]],"Match","")</f>
        <v/>
      </c>
    </row>
    <row r="772" spans="1:15" ht="13.2">
      <c r="A772" s="1" t="s">
        <v>897</v>
      </c>
      <c r="B772" t="s">
        <v>10</v>
      </c>
      <c r="C772" t="s">
        <v>11</v>
      </c>
      <c r="D772" t="s">
        <v>864</v>
      </c>
      <c r="E772">
        <v>840</v>
      </c>
      <c r="F772">
        <v>410</v>
      </c>
      <c r="G772">
        <v>390</v>
      </c>
      <c r="H772">
        <v>10</v>
      </c>
      <c r="I772">
        <v>810</v>
      </c>
      <c r="J772" s="8">
        <f>Table1[[#This Row],[PartyAVotes]]/Table1[[#This Row],[RegisteredVoters]]</f>
        <v>0.48809523809523808</v>
      </c>
      <c r="K772" s="8">
        <f>Table1[[#This Row],[PartyBVotes]]/Table1[[#This Row],[RegisteredVoters]]</f>
        <v>0.4642857142857143</v>
      </c>
      <c r="L772" s="8">
        <f>Table1[[#This Row],[PartyCVotes]]/Table1[[#This Row],[RegisteredVoters]]</f>
        <v>1.1904761904761904E-2</v>
      </c>
      <c r="M772">
        <f>ABS(Table1[[#This Row],[PartyAVotes]]-Table1[[#This Row],[PartyBVotes]])</f>
        <v>20</v>
      </c>
      <c r="N772" s="11">
        <f>Table1[[#This Row],[TotalVotesCast]]/Table1[[#This Row],[RegisteredVoters]]</f>
        <v>0.9642857142857143</v>
      </c>
      <c r="O772" t="str">
        <f>IF(Table1[[#This Row],[RegisteredVoters]]=Table1[[#This Row],[TotalVotesCast]],"Match","")</f>
        <v/>
      </c>
    </row>
    <row r="773" spans="1:15" ht="13.2">
      <c r="A773" s="1" t="s">
        <v>898</v>
      </c>
      <c r="B773" t="s">
        <v>15</v>
      </c>
      <c r="C773" t="s">
        <v>16</v>
      </c>
      <c r="D773" t="s">
        <v>864</v>
      </c>
      <c r="E773">
        <v>1140</v>
      </c>
      <c r="F773">
        <v>560</v>
      </c>
      <c r="G773">
        <v>540</v>
      </c>
      <c r="H773">
        <v>15</v>
      </c>
      <c r="I773">
        <v>1115</v>
      </c>
      <c r="J773" s="8">
        <f>Table1[[#This Row],[PartyAVotes]]/Table1[[#This Row],[RegisteredVoters]]</f>
        <v>0.49122807017543857</v>
      </c>
      <c r="K773" s="8">
        <f>Table1[[#This Row],[PartyBVotes]]/Table1[[#This Row],[RegisteredVoters]]</f>
        <v>0.47368421052631576</v>
      </c>
      <c r="L773" s="8">
        <f>Table1[[#This Row],[PartyCVotes]]/Table1[[#This Row],[RegisteredVoters]]</f>
        <v>1.3157894736842105E-2</v>
      </c>
      <c r="M773">
        <f>ABS(Table1[[#This Row],[PartyAVotes]]-Table1[[#This Row],[PartyBVotes]])</f>
        <v>20</v>
      </c>
      <c r="N773" s="11">
        <f>Table1[[#This Row],[TotalVotesCast]]/Table1[[#This Row],[RegisteredVoters]]</f>
        <v>0.97807017543859653</v>
      </c>
      <c r="O773" t="str">
        <f>IF(Table1[[#This Row],[RegisteredVoters]]=Table1[[#This Row],[TotalVotesCast]],"Match","")</f>
        <v/>
      </c>
    </row>
    <row r="774" spans="1:15" ht="13.2">
      <c r="A774" s="1" t="s">
        <v>899</v>
      </c>
      <c r="B774" t="s">
        <v>18</v>
      </c>
      <c r="C774" t="s">
        <v>20</v>
      </c>
      <c r="D774" t="s">
        <v>900</v>
      </c>
      <c r="E774">
        <v>1230</v>
      </c>
      <c r="F774">
        <v>610</v>
      </c>
      <c r="G774">
        <v>590</v>
      </c>
      <c r="H774">
        <v>15</v>
      </c>
      <c r="I774">
        <v>1215</v>
      </c>
      <c r="J774" s="8">
        <f>Table1[[#This Row],[PartyAVotes]]/Table1[[#This Row],[RegisteredVoters]]</f>
        <v>0.49593495934959347</v>
      </c>
      <c r="K774" s="8">
        <f>Table1[[#This Row],[PartyBVotes]]/Table1[[#This Row],[RegisteredVoters]]</f>
        <v>0.47967479674796748</v>
      </c>
      <c r="L774" s="8">
        <f>Table1[[#This Row],[PartyCVotes]]/Table1[[#This Row],[RegisteredVoters]]</f>
        <v>1.2195121951219513E-2</v>
      </c>
      <c r="M774">
        <f>ABS(Table1[[#This Row],[PartyAVotes]]-Table1[[#This Row],[PartyBVotes]])</f>
        <v>20</v>
      </c>
      <c r="N774" s="11">
        <f>Table1[[#This Row],[TotalVotesCast]]/Table1[[#This Row],[RegisteredVoters]]</f>
        <v>0.98780487804878048</v>
      </c>
      <c r="O774" t="str">
        <f>IF(Table1[[#This Row],[RegisteredVoters]]=Table1[[#This Row],[TotalVotesCast]],"Match","")</f>
        <v/>
      </c>
    </row>
    <row r="775" spans="1:15" ht="13.2">
      <c r="A775" s="1" t="s">
        <v>901</v>
      </c>
      <c r="B775" t="s">
        <v>21</v>
      </c>
      <c r="C775" t="s">
        <v>22</v>
      </c>
      <c r="D775" t="s">
        <v>855</v>
      </c>
      <c r="E775">
        <v>1490</v>
      </c>
      <c r="F775">
        <v>730</v>
      </c>
      <c r="G775">
        <v>700</v>
      </c>
      <c r="H775">
        <v>25</v>
      </c>
      <c r="I775">
        <v>1455</v>
      </c>
      <c r="J775" s="8">
        <f>Table1[[#This Row],[PartyAVotes]]/Table1[[#This Row],[RegisteredVoters]]</f>
        <v>0.48993288590604028</v>
      </c>
      <c r="K775" s="8">
        <f>Table1[[#This Row],[PartyBVotes]]/Table1[[#This Row],[RegisteredVoters]]</f>
        <v>0.46979865771812079</v>
      </c>
      <c r="L775" s="8">
        <f>Table1[[#This Row],[PartyCVotes]]/Table1[[#This Row],[RegisteredVoters]]</f>
        <v>1.6778523489932886E-2</v>
      </c>
      <c r="M775">
        <f>ABS(Table1[[#This Row],[PartyAVotes]]-Table1[[#This Row],[PartyBVotes]])</f>
        <v>30</v>
      </c>
      <c r="N775" s="11">
        <f>Table1[[#This Row],[TotalVotesCast]]/Table1[[#This Row],[RegisteredVoters]]</f>
        <v>0.97651006711409394</v>
      </c>
      <c r="O775" t="str">
        <f>IF(Table1[[#This Row],[RegisteredVoters]]=Table1[[#This Row],[TotalVotesCast]],"Match","")</f>
        <v/>
      </c>
    </row>
    <row r="776" spans="1:15" ht="13.2">
      <c r="A776" s="1" t="s">
        <v>902</v>
      </c>
      <c r="B776" t="s">
        <v>10</v>
      </c>
      <c r="C776" t="s">
        <v>14</v>
      </c>
      <c r="D776" t="s">
        <v>810</v>
      </c>
      <c r="E776">
        <v>930</v>
      </c>
      <c r="F776">
        <v>455</v>
      </c>
      <c r="G776">
        <v>435</v>
      </c>
      <c r="H776">
        <v>15</v>
      </c>
      <c r="I776">
        <v>905</v>
      </c>
      <c r="J776" s="8">
        <f>Table1[[#This Row],[PartyAVotes]]/Table1[[#This Row],[RegisteredVoters]]</f>
        <v>0.489247311827957</v>
      </c>
      <c r="K776" s="8">
        <f>Table1[[#This Row],[PartyBVotes]]/Table1[[#This Row],[RegisteredVoters]]</f>
        <v>0.46774193548387094</v>
      </c>
      <c r="L776" s="8">
        <f>Table1[[#This Row],[PartyCVotes]]/Table1[[#This Row],[RegisteredVoters]]</f>
        <v>1.6129032258064516E-2</v>
      </c>
      <c r="M776">
        <f>ABS(Table1[[#This Row],[PartyAVotes]]-Table1[[#This Row],[PartyBVotes]])</f>
        <v>20</v>
      </c>
      <c r="N776" s="11">
        <f>Table1[[#This Row],[TotalVotesCast]]/Table1[[#This Row],[RegisteredVoters]]</f>
        <v>0.9731182795698925</v>
      </c>
      <c r="O776" t="str">
        <f>IF(Table1[[#This Row],[RegisteredVoters]]=Table1[[#This Row],[TotalVotesCast]],"Match","")</f>
        <v/>
      </c>
    </row>
    <row r="777" spans="1:15" ht="13.2">
      <c r="A777" s="1" t="s">
        <v>903</v>
      </c>
      <c r="B777" t="s">
        <v>15</v>
      </c>
      <c r="C777" t="s">
        <v>17</v>
      </c>
      <c r="D777" t="s">
        <v>792</v>
      </c>
      <c r="E777">
        <v>980</v>
      </c>
      <c r="F777">
        <v>485</v>
      </c>
      <c r="G777">
        <v>465</v>
      </c>
      <c r="H777">
        <v>15</v>
      </c>
      <c r="I777">
        <v>965</v>
      </c>
      <c r="J777" s="8">
        <f>Table1[[#This Row],[PartyAVotes]]/Table1[[#This Row],[RegisteredVoters]]</f>
        <v>0.49489795918367346</v>
      </c>
      <c r="K777" s="8">
        <f>Table1[[#This Row],[PartyBVotes]]/Table1[[#This Row],[RegisteredVoters]]</f>
        <v>0.47448979591836737</v>
      </c>
      <c r="L777" s="8">
        <f>Table1[[#This Row],[PartyCVotes]]/Table1[[#This Row],[RegisteredVoters]]</f>
        <v>1.5306122448979591E-2</v>
      </c>
      <c r="M777">
        <f>ABS(Table1[[#This Row],[PartyAVotes]]-Table1[[#This Row],[PartyBVotes]])</f>
        <v>20</v>
      </c>
      <c r="N777" s="11">
        <f>Table1[[#This Row],[TotalVotesCast]]/Table1[[#This Row],[RegisteredVoters]]</f>
        <v>0.98469387755102045</v>
      </c>
      <c r="O777" t="str">
        <f>IF(Table1[[#This Row],[RegisteredVoters]]=Table1[[#This Row],[TotalVotesCast]],"Match","")</f>
        <v/>
      </c>
    </row>
    <row r="778" spans="1:15" ht="13.2">
      <c r="A778" s="1" t="s">
        <v>904</v>
      </c>
      <c r="B778" t="s">
        <v>18</v>
      </c>
      <c r="C778" t="s">
        <v>19</v>
      </c>
      <c r="D778" t="s">
        <v>819</v>
      </c>
      <c r="E778">
        <v>1250</v>
      </c>
      <c r="F778">
        <v>620</v>
      </c>
      <c r="G778">
        <v>595</v>
      </c>
      <c r="H778">
        <v>20</v>
      </c>
      <c r="I778">
        <v>1235</v>
      </c>
      <c r="J778" s="8">
        <f>Table1[[#This Row],[PartyAVotes]]/Table1[[#This Row],[RegisteredVoters]]</f>
        <v>0.496</v>
      </c>
      <c r="K778" s="8">
        <f>Table1[[#This Row],[PartyBVotes]]/Table1[[#This Row],[RegisteredVoters]]</f>
        <v>0.47599999999999998</v>
      </c>
      <c r="L778" s="8">
        <f>Table1[[#This Row],[PartyCVotes]]/Table1[[#This Row],[RegisteredVoters]]</f>
        <v>1.6E-2</v>
      </c>
      <c r="M778">
        <f>ABS(Table1[[#This Row],[PartyAVotes]]-Table1[[#This Row],[PartyBVotes]])</f>
        <v>25</v>
      </c>
      <c r="N778" s="11">
        <f>Table1[[#This Row],[TotalVotesCast]]/Table1[[#This Row],[RegisteredVoters]]</f>
        <v>0.98799999999999999</v>
      </c>
      <c r="O778" t="str">
        <f>IF(Table1[[#This Row],[RegisteredVoters]]=Table1[[#This Row],[TotalVotesCast]],"Match","")</f>
        <v/>
      </c>
    </row>
    <row r="779" spans="1:15" ht="13.2">
      <c r="A779" s="1" t="s">
        <v>905</v>
      </c>
      <c r="B779" t="s">
        <v>21</v>
      </c>
      <c r="C779" t="s">
        <v>23</v>
      </c>
      <c r="D779" t="s">
        <v>801</v>
      </c>
      <c r="E779">
        <v>1310</v>
      </c>
      <c r="F779">
        <v>650</v>
      </c>
      <c r="G779">
        <v>625</v>
      </c>
      <c r="H779">
        <v>20</v>
      </c>
      <c r="I779">
        <v>1295</v>
      </c>
      <c r="J779" s="8">
        <f>Table1[[#This Row],[PartyAVotes]]/Table1[[#This Row],[RegisteredVoters]]</f>
        <v>0.49618320610687022</v>
      </c>
      <c r="K779" s="8">
        <f>Table1[[#This Row],[PartyBVotes]]/Table1[[#This Row],[RegisteredVoters]]</f>
        <v>0.47709923664122139</v>
      </c>
      <c r="L779" s="8">
        <f>Table1[[#This Row],[PartyCVotes]]/Table1[[#This Row],[RegisteredVoters]]</f>
        <v>1.5267175572519083E-2</v>
      </c>
      <c r="M779">
        <f>ABS(Table1[[#This Row],[PartyAVotes]]-Table1[[#This Row],[PartyBVotes]])</f>
        <v>25</v>
      </c>
      <c r="N779" s="11">
        <f>Table1[[#This Row],[TotalVotesCast]]/Table1[[#This Row],[RegisteredVoters]]</f>
        <v>0.98854961832061072</v>
      </c>
      <c r="O779" t="str">
        <f>IF(Table1[[#This Row],[RegisteredVoters]]=Table1[[#This Row],[TotalVotesCast]],"Match","")</f>
        <v/>
      </c>
    </row>
    <row r="780" spans="1:15" ht="13.2">
      <c r="A780" s="1" t="s">
        <v>906</v>
      </c>
      <c r="B780" t="s">
        <v>10</v>
      </c>
      <c r="C780" t="s">
        <v>11</v>
      </c>
      <c r="D780" t="s">
        <v>873</v>
      </c>
      <c r="E780">
        <v>850</v>
      </c>
      <c r="F780">
        <v>415</v>
      </c>
      <c r="G780">
        <v>395</v>
      </c>
      <c r="H780">
        <v>10</v>
      </c>
      <c r="I780">
        <v>820</v>
      </c>
      <c r="J780" s="8">
        <f>Table1[[#This Row],[PartyAVotes]]/Table1[[#This Row],[RegisteredVoters]]</f>
        <v>0.48823529411764705</v>
      </c>
      <c r="K780" s="8">
        <f>Table1[[#This Row],[PartyBVotes]]/Table1[[#This Row],[RegisteredVoters]]</f>
        <v>0.46470588235294119</v>
      </c>
      <c r="L780" s="8">
        <f>Table1[[#This Row],[PartyCVotes]]/Table1[[#This Row],[RegisteredVoters]]</f>
        <v>1.1764705882352941E-2</v>
      </c>
      <c r="M780">
        <f>ABS(Table1[[#This Row],[PartyAVotes]]-Table1[[#This Row],[PartyBVotes]])</f>
        <v>20</v>
      </c>
      <c r="N780" s="11">
        <f>Table1[[#This Row],[TotalVotesCast]]/Table1[[#This Row],[RegisteredVoters]]</f>
        <v>0.96470588235294119</v>
      </c>
      <c r="O780" t="str">
        <f>IF(Table1[[#This Row],[RegisteredVoters]]=Table1[[#This Row],[TotalVotesCast]],"Match","")</f>
        <v/>
      </c>
    </row>
    <row r="781" spans="1:15" ht="13.2">
      <c r="A781" s="1" t="s">
        <v>907</v>
      </c>
      <c r="B781" t="s">
        <v>15</v>
      </c>
      <c r="C781" t="s">
        <v>16</v>
      </c>
      <c r="D781" t="s">
        <v>873</v>
      </c>
      <c r="E781">
        <v>1150</v>
      </c>
      <c r="F781">
        <v>565</v>
      </c>
      <c r="G781">
        <v>545</v>
      </c>
      <c r="H781">
        <v>15</v>
      </c>
      <c r="I781">
        <v>1125</v>
      </c>
      <c r="J781" s="8">
        <f>Table1[[#This Row],[PartyAVotes]]/Table1[[#This Row],[RegisteredVoters]]</f>
        <v>0.49130434782608695</v>
      </c>
      <c r="K781" s="8">
        <f>Table1[[#This Row],[PartyBVotes]]/Table1[[#This Row],[RegisteredVoters]]</f>
        <v>0.47391304347826085</v>
      </c>
      <c r="L781" s="8">
        <f>Table1[[#This Row],[PartyCVotes]]/Table1[[#This Row],[RegisteredVoters]]</f>
        <v>1.3043478260869565E-2</v>
      </c>
      <c r="M781">
        <f>ABS(Table1[[#This Row],[PartyAVotes]]-Table1[[#This Row],[PartyBVotes]])</f>
        <v>20</v>
      </c>
      <c r="N781" s="11">
        <f>Table1[[#This Row],[TotalVotesCast]]/Table1[[#This Row],[RegisteredVoters]]</f>
        <v>0.97826086956521741</v>
      </c>
      <c r="O781" t="str">
        <f>IF(Table1[[#This Row],[RegisteredVoters]]=Table1[[#This Row],[TotalVotesCast]],"Match","")</f>
        <v/>
      </c>
    </row>
    <row r="782" spans="1:15" ht="13.2">
      <c r="A782" s="1" t="s">
        <v>908</v>
      </c>
      <c r="B782" t="s">
        <v>18</v>
      </c>
      <c r="C782" t="s">
        <v>20</v>
      </c>
      <c r="D782" t="s">
        <v>909</v>
      </c>
      <c r="E782">
        <v>1240</v>
      </c>
      <c r="F782">
        <v>615</v>
      </c>
      <c r="G782">
        <v>595</v>
      </c>
      <c r="H782">
        <v>15</v>
      </c>
      <c r="I782">
        <v>1225</v>
      </c>
      <c r="J782" s="8">
        <f>Table1[[#This Row],[PartyAVotes]]/Table1[[#This Row],[RegisteredVoters]]</f>
        <v>0.49596774193548387</v>
      </c>
      <c r="K782" s="8">
        <f>Table1[[#This Row],[PartyBVotes]]/Table1[[#This Row],[RegisteredVoters]]</f>
        <v>0.47983870967741937</v>
      </c>
      <c r="L782" s="8">
        <f>Table1[[#This Row],[PartyCVotes]]/Table1[[#This Row],[RegisteredVoters]]</f>
        <v>1.2096774193548387E-2</v>
      </c>
      <c r="M782">
        <f>ABS(Table1[[#This Row],[PartyAVotes]]-Table1[[#This Row],[PartyBVotes]])</f>
        <v>20</v>
      </c>
      <c r="N782" s="11">
        <f>Table1[[#This Row],[TotalVotesCast]]/Table1[[#This Row],[RegisteredVoters]]</f>
        <v>0.98790322580645162</v>
      </c>
      <c r="O782" t="str">
        <f>IF(Table1[[#This Row],[RegisteredVoters]]=Table1[[#This Row],[TotalVotesCast]],"Match","")</f>
        <v/>
      </c>
    </row>
    <row r="783" spans="1:15" ht="13.2">
      <c r="A783" s="1" t="s">
        <v>910</v>
      </c>
      <c r="B783" t="s">
        <v>21</v>
      </c>
      <c r="C783" t="s">
        <v>22</v>
      </c>
      <c r="D783" t="s">
        <v>864</v>
      </c>
      <c r="E783">
        <v>1500</v>
      </c>
      <c r="F783">
        <v>735</v>
      </c>
      <c r="G783">
        <v>705</v>
      </c>
      <c r="H783">
        <v>25</v>
      </c>
      <c r="I783">
        <v>1465</v>
      </c>
      <c r="J783" s="8">
        <f>Table1[[#This Row],[PartyAVotes]]/Table1[[#This Row],[RegisteredVoters]]</f>
        <v>0.49</v>
      </c>
      <c r="K783" s="8">
        <f>Table1[[#This Row],[PartyBVotes]]/Table1[[#This Row],[RegisteredVoters]]</f>
        <v>0.47</v>
      </c>
      <c r="L783" s="8">
        <f>Table1[[#This Row],[PartyCVotes]]/Table1[[#This Row],[RegisteredVoters]]</f>
        <v>1.6666666666666666E-2</v>
      </c>
      <c r="M783">
        <f>ABS(Table1[[#This Row],[PartyAVotes]]-Table1[[#This Row],[PartyBVotes]])</f>
        <v>30</v>
      </c>
      <c r="N783" s="11">
        <f>Table1[[#This Row],[TotalVotesCast]]/Table1[[#This Row],[RegisteredVoters]]</f>
        <v>0.97666666666666668</v>
      </c>
      <c r="O783" t="str">
        <f>IF(Table1[[#This Row],[RegisteredVoters]]=Table1[[#This Row],[TotalVotesCast]],"Match","")</f>
        <v/>
      </c>
    </row>
    <row r="784" spans="1:15" ht="13.2">
      <c r="A784" s="1" t="s">
        <v>911</v>
      </c>
      <c r="B784" t="s">
        <v>10</v>
      </c>
      <c r="C784" t="s">
        <v>14</v>
      </c>
      <c r="D784" t="s">
        <v>819</v>
      </c>
      <c r="E784">
        <v>940</v>
      </c>
      <c r="F784">
        <v>460</v>
      </c>
      <c r="G784">
        <v>440</v>
      </c>
      <c r="H784">
        <v>15</v>
      </c>
      <c r="I784">
        <v>915</v>
      </c>
      <c r="J784" s="8">
        <f>Table1[[#This Row],[PartyAVotes]]/Table1[[#This Row],[RegisteredVoters]]</f>
        <v>0.48936170212765956</v>
      </c>
      <c r="K784" s="8">
        <f>Table1[[#This Row],[PartyBVotes]]/Table1[[#This Row],[RegisteredVoters]]</f>
        <v>0.46808510638297873</v>
      </c>
      <c r="L784" s="8">
        <f>Table1[[#This Row],[PartyCVotes]]/Table1[[#This Row],[RegisteredVoters]]</f>
        <v>1.5957446808510637E-2</v>
      </c>
      <c r="M784">
        <f>ABS(Table1[[#This Row],[PartyAVotes]]-Table1[[#This Row],[PartyBVotes]])</f>
        <v>20</v>
      </c>
      <c r="N784" s="11">
        <f>Table1[[#This Row],[TotalVotesCast]]/Table1[[#This Row],[RegisteredVoters]]</f>
        <v>0.97340425531914898</v>
      </c>
      <c r="O784" t="str">
        <f>IF(Table1[[#This Row],[RegisteredVoters]]=Table1[[#This Row],[TotalVotesCast]],"Match","")</f>
        <v/>
      </c>
    </row>
    <row r="785" spans="1:15" ht="13.2">
      <c r="A785" s="1" t="s">
        <v>912</v>
      </c>
      <c r="B785" t="s">
        <v>15</v>
      </c>
      <c r="C785" t="s">
        <v>17</v>
      </c>
      <c r="D785" t="s">
        <v>801</v>
      </c>
      <c r="E785">
        <v>990</v>
      </c>
      <c r="F785">
        <v>490</v>
      </c>
      <c r="G785">
        <v>470</v>
      </c>
      <c r="H785">
        <v>15</v>
      </c>
      <c r="I785">
        <v>975</v>
      </c>
      <c r="J785" s="8">
        <f>Table1[[#This Row],[PartyAVotes]]/Table1[[#This Row],[RegisteredVoters]]</f>
        <v>0.49494949494949497</v>
      </c>
      <c r="K785" s="8">
        <f>Table1[[#This Row],[PartyBVotes]]/Table1[[#This Row],[RegisteredVoters]]</f>
        <v>0.47474747474747475</v>
      </c>
      <c r="L785" s="8">
        <f>Table1[[#This Row],[PartyCVotes]]/Table1[[#This Row],[RegisteredVoters]]</f>
        <v>1.5151515151515152E-2</v>
      </c>
      <c r="M785">
        <f>ABS(Table1[[#This Row],[PartyAVotes]]-Table1[[#This Row],[PartyBVotes]])</f>
        <v>20</v>
      </c>
      <c r="N785" s="11">
        <f>Table1[[#This Row],[TotalVotesCast]]/Table1[[#This Row],[RegisteredVoters]]</f>
        <v>0.98484848484848486</v>
      </c>
      <c r="O785" t="str">
        <f>IF(Table1[[#This Row],[RegisteredVoters]]=Table1[[#This Row],[TotalVotesCast]],"Match","")</f>
        <v/>
      </c>
    </row>
    <row r="786" spans="1:15" ht="13.2">
      <c r="A786" s="1" t="s">
        <v>913</v>
      </c>
      <c r="B786" t="s">
        <v>18</v>
      </c>
      <c r="C786" t="s">
        <v>19</v>
      </c>
      <c r="D786" t="s">
        <v>828</v>
      </c>
      <c r="E786">
        <v>1260</v>
      </c>
      <c r="F786">
        <v>625</v>
      </c>
      <c r="G786">
        <v>600</v>
      </c>
      <c r="H786">
        <v>20</v>
      </c>
      <c r="I786">
        <v>1245</v>
      </c>
      <c r="J786" s="8">
        <f>Table1[[#This Row],[PartyAVotes]]/Table1[[#This Row],[RegisteredVoters]]</f>
        <v>0.49603174603174605</v>
      </c>
      <c r="K786" s="8">
        <f>Table1[[#This Row],[PartyBVotes]]/Table1[[#This Row],[RegisteredVoters]]</f>
        <v>0.47619047619047616</v>
      </c>
      <c r="L786" s="8">
        <f>Table1[[#This Row],[PartyCVotes]]/Table1[[#This Row],[RegisteredVoters]]</f>
        <v>1.5873015873015872E-2</v>
      </c>
      <c r="M786">
        <f>ABS(Table1[[#This Row],[PartyAVotes]]-Table1[[#This Row],[PartyBVotes]])</f>
        <v>25</v>
      </c>
      <c r="N786" s="11">
        <f>Table1[[#This Row],[TotalVotesCast]]/Table1[[#This Row],[RegisteredVoters]]</f>
        <v>0.98809523809523814</v>
      </c>
      <c r="O786" t="str">
        <f>IF(Table1[[#This Row],[RegisteredVoters]]=Table1[[#This Row],[TotalVotesCast]],"Match","")</f>
        <v/>
      </c>
    </row>
    <row r="787" spans="1:15" ht="13.2">
      <c r="A787" s="1" t="s">
        <v>914</v>
      </c>
      <c r="B787" t="s">
        <v>21</v>
      </c>
      <c r="C787" t="s">
        <v>23</v>
      </c>
      <c r="D787" t="s">
        <v>810</v>
      </c>
      <c r="E787">
        <v>1320</v>
      </c>
      <c r="F787">
        <v>655</v>
      </c>
      <c r="G787">
        <v>630</v>
      </c>
      <c r="H787">
        <v>20</v>
      </c>
      <c r="I787">
        <v>1305</v>
      </c>
      <c r="J787" s="8">
        <f>Table1[[#This Row],[PartyAVotes]]/Table1[[#This Row],[RegisteredVoters]]</f>
        <v>0.49621212121212122</v>
      </c>
      <c r="K787" s="8">
        <f>Table1[[#This Row],[PartyBVotes]]/Table1[[#This Row],[RegisteredVoters]]</f>
        <v>0.47727272727272729</v>
      </c>
      <c r="L787" s="8">
        <f>Table1[[#This Row],[PartyCVotes]]/Table1[[#This Row],[RegisteredVoters]]</f>
        <v>1.5151515151515152E-2</v>
      </c>
      <c r="M787">
        <f>ABS(Table1[[#This Row],[PartyAVotes]]-Table1[[#This Row],[PartyBVotes]])</f>
        <v>25</v>
      </c>
      <c r="N787" s="11">
        <f>Table1[[#This Row],[TotalVotesCast]]/Table1[[#This Row],[RegisteredVoters]]</f>
        <v>0.98863636363636365</v>
      </c>
      <c r="O787" t="str">
        <f>IF(Table1[[#This Row],[RegisteredVoters]]=Table1[[#This Row],[TotalVotesCast]],"Match","")</f>
        <v/>
      </c>
    </row>
    <row r="788" spans="1:15" ht="13.2">
      <c r="A788" s="1" t="s">
        <v>915</v>
      </c>
      <c r="B788" t="s">
        <v>10</v>
      </c>
      <c r="C788" t="s">
        <v>11</v>
      </c>
      <c r="D788" t="s">
        <v>882</v>
      </c>
      <c r="E788">
        <v>860</v>
      </c>
      <c r="F788">
        <v>420</v>
      </c>
      <c r="G788">
        <v>400</v>
      </c>
      <c r="H788">
        <v>10</v>
      </c>
      <c r="I788">
        <v>830</v>
      </c>
      <c r="J788" s="8">
        <f>Table1[[#This Row],[PartyAVotes]]/Table1[[#This Row],[RegisteredVoters]]</f>
        <v>0.48837209302325579</v>
      </c>
      <c r="K788" s="8">
        <f>Table1[[#This Row],[PartyBVotes]]/Table1[[#This Row],[RegisteredVoters]]</f>
        <v>0.46511627906976744</v>
      </c>
      <c r="L788" s="8">
        <f>Table1[[#This Row],[PartyCVotes]]/Table1[[#This Row],[RegisteredVoters]]</f>
        <v>1.1627906976744186E-2</v>
      </c>
      <c r="M788">
        <f>ABS(Table1[[#This Row],[PartyAVotes]]-Table1[[#This Row],[PartyBVotes]])</f>
        <v>20</v>
      </c>
      <c r="N788" s="11">
        <f>Table1[[#This Row],[TotalVotesCast]]/Table1[[#This Row],[RegisteredVoters]]</f>
        <v>0.96511627906976749</v>
      </c>
      <c r="O788" t="str">
        <f>IF(Table1[[#This Row],[RegisteredVoters]]=Table1[[#This Row],[TotalVotesCast]],"Match","")</f>
        <v/>
      </c>
    </row>
    <row r="789" spans="1:15" ht="13.2">
      <c r="A789" s="1" t="s">
        <v>916</v>
      </c>
      <c r="B789" t="s">
        <v>15</v>
      </c>
      <c r="C789" t="s">
        <v>16</v>
      </c>
      <c r="D789" t="s">
        <v>882</v>
      </c>
      <c r="E789">
        <v>1160</v>
      </c>
      <c r="F789">
        <v>570</v>
      </c>
      <c r="G789">
        <v>550</v>
      </c>
      <c r="H789">
        <v>15</v>
      </c>
      <c r="I789">
        <v>1135</v>
      </c>
      <c r="J789" s="8">
        <f>Table1[[#This Row],[PartyAVotes]]/Table1[[#This Row],[RegisteredVoters]]</f>
        <v>0.49137931034482757</v>
      </c>
      <c r="K789" s="8">
        <f>Table1[[#This Row],[PartyBVotes]]/Table1[[#This Row],[RegisteredVoters]]</f>
        <v>0.47413793103448276</v>
      </c>
      <c r="L789" s="8">
        <f>Table1[[#This Row],[PartyCVotes]]/Table1[[#This Row],[RegisteredVoters]]</f>
        <v>1.2931034482758621E-2</v>
      </c>
      <c r="M789">
        <f>ABS(Table1[[#This Row],[PartyAVotes]]-Table1[[#This Row],[PartyBVotes]])</f>
        <v>20</v>
      </c>
      <c r="N789" s="11">
        <f>Table1[[#This Row],[TotalVotesCast]]/Table1[[#This Row],[RegisteredVoters]]</f>
        <v>0.97844827586206895</v>
      </c>
      <c r="O789" t="str">
        <f>IF(Table1[[#This Row],[RegisteredVoters]]=Table1[[#This Row],[TotalVotesCast]],"Match","")</f>
        <v/>
      </c>
    </row>
    <row r="790" spans="1:15" ht="13.2">
      <c r="A790" s="1" t="s">
        <v>917</v>
      </c>
      <c r="B790" t="s">
        <v>18</v>
      </c>
      <c r="C790" t="s">
        <v>20</v>
      </c>
      <c r="D790" t="s">
        <v>918</v>
      </c>
      <c r="E790">
        <v>1250</v>
      </c>
      <c r="F790">
        <v>620</v>
      </c>
      <c r="G790">
        <v>600</v>
      </c>
      <c r="H790">
        <v>15</v>
      </c>
      <c r="I790">
        <v>1235</v>
      </c>
      <c r="J790" s="8">
        <f>Table1[[#This Row],[PartyAVotes]]/Table1[[#This Row],[RegisteredVoters]]</f>
        <v>0.496</v>
      </c>
      <c r="K790" s="8">
        <f>Table1[[#This Row],[PartyBVotes]]/Table1[[#This Row],[RegisteredVoters]]</f>
        <v>0.48</v>
      </c>
      <c r="L790" s="8">
        <f>Table1[[#This Row],[PartyCVotes]]/Table1[[#This Row],[RegisteredVoters]]</f>
        <v>1.2E-2</v>
      </c>
      <c r="M790">
        <f>ABS(Table1[[#This Row],[PartyAVotes]]-Table1[[#This Row],[PartyBVotes]])</f>
        <v>20</v>
      </c>
      <c r="N790" s="11">
        <f>Table1[[#This Row],[TotalVotesCast]]/Table1[[#This Row],[RegisteredVoters]]</f>
        <v>0.98799999999999999</v>
      </c>
      <c r="O790" t="str">
        <f>IF(Table1[[#This Row],[RegisteredVoters]]=Table1[[#This Row],[TotalVotesCast]],"Match","")</f>
        <v/>
      </c>
    </row>
    <row r="791" spans="1:15" ht="13.2">
      <c r="A791" s="1" t="s">
        <v>919</v>
      </c>
      <c r="B791" t="s">
        <v>21</v>
      </c>
      <c r="C791" t="s">
        <v>22</v>
      </c>
      <c r="D791" t="s">
        <v>873</v>
      </c>
      <c r="E791">
        <v>1510</v>
      </c>
      <c r="F791">
        <v>740</v>
      </c>
      <c r="G791">
        <v>710</v>
      </c>
      <c r="H791">
        <v>25</v>
      </c>
      <c r="I791">
        <v>1475</v>
      </c>
      <c r="J791" s="8">
        <f>Table1[[#This Row],[PartyAVotes]]/Table1[[#This Row],[RegisteredVoters]]</f>
        <v>0.49006622516556292</v>
      </c>
      <c r="K791" s="8">
        <f>Table1[[#This Row],[PartyBVotes]]/Table1[[#This Row],[RegisteredVoters]]</f>
        <v>0.47019867549668876</v>
      </c>
      <c r="L791" s="8">
        <f>Table1[[#This Row],[PartyCVotes]]/Table1[[#This Row],[RegisteredVoters]]</f>
        <v>1.6556291390728478E-2</v>
      </c>
      <c r="M791">
        <f>ABS(Table1[[#This Row],[PartyAVotes]]-Table1[[#This Row],[PartyBVotes]])</f>
        <v>30</v>
      </c>
      <c r="N791" s="11">
        <f>Table1[[#This Row],[TotalVotesCast]]/Table1[[#This Row],[RegisteredVoters]]</f>
        <v>0.97682119205298013</v>
      </c>
      <c r="O791" t="str">
        <f>IF(Table1[[#This Row],[RegisteredVoters]]=Table1[[#This Row],[TotalVotesCast]],"Match","")</f>
        <v/>
      </c>
    </row>
    <row r="792" spans="1:15" ht="13.2">
      <c r="A792" s="1" t="s">
        <v>920</v>
      </c>
      <c r="B792" t="s">
        <v>10</v>
      </c>
      <c r="C792" t="s">
        <v>14</v>
      </c>
      <c r="D792" t="s">
        <v>828</v>
      </c>
      <c r="E792">
        <v>950</v>
      </c>
      <c r="F792">
        <v>465</v>
      </c>
      <c r="G792">
        <v>445</v>
      </c>
      <c r="H792">
        <v>15</v>
      </c>
      <c r="I792">
        <v>925</v>
      </c>
      <c r="J792" s="8">
        <f>Table1[[#This Row],[PartyAVotes]]/Table1[[#This Row],[RegisteredVoters]]</f>
        <v>0.48947368421052634</v>
      </c>
      <c r="K792" s="8">
        <f>Table1[[#This Row],[PartyBVotes]]/Table1[[#This Row],[RegisteredVoters]]</f>
        <v>0.46842105263157896</v>
      </c>
      <c r="L792" s="8">
        <f>Table1[[#This Row],[PartyCVotes]]/Table1[[#This Row],[RegisteredVoters]]</f>
        <v>1.5789473684210527E-2</v>
      </c>
      <c r="M792">
        <f>ABS(Table1[[#This Row],[PartyAVotes]]-Table1[[#This Row],[PartyBVotes]])</f>
        <v>20</v>
      </c>
      <c r="N792" s="11">
        <f>Table1[[#This Row],[TotalVotesCast]]/Table1[[#This Row],[RegisteredVoters]]</f>
        <v>0.97368421052631582</v>
      </c>
      <c r="O792" t="str">
        <f>IF(Table1[[#This Row],[RegisteredVoters]]=Table1[[#This Row],[TotalVotesCast]],"Match","")</f>
        <v/>
      </c>
    </row>
    <row r="793" spans="1:15" ht="13.2">
      <c r="A793" s="1" t="s">
        <v>921</v>
      </c>
      <c r="B793" t="s">
        <v>15</v>
      </c>
      <c r="C793" t="s">
        <v>17</v>
      </c>
      <c r="D793" t="s">
        <v>810</v>
      </c>
      <c r="E793">
        <v>1000</v>
      </c>
      <c r="F793">
        <v>495</v>
      </c>
      <c r="G793">
        <v>475</v>
      </c>
      <c r="H793">
        <v>15</v>
      </c>
      <c r="I793">
        <v>985</v>
      </c>
      <c r="J793" s="8">
        <f>Table1[[#This Row],[PartyAVotes]]/Table1[[#This Row],[RegisteredVoters]]</f>
        <v>0.495</v>
      </c>
      <c r="K793" s="8">
        <f>Table1[[#This Row],[PartyBVotes]]/Table1[[#This Row],[RegisteredVoters]]</f>
        <v>0.47499999999999998</v>
      </c>
      <c r="L793" s="8">
        <f>Table1[[#This Row],[PartyCVotes]]/Table1[[#This Row],[RegisteredVoters]]</f>
        <v>1.4999999999999999E-2</v>
      </c>
      <c r="M793">
        <f>ABS(Table1[[#This Row],[PartyAVotes]]-Table1[[#This Row],[PartyBVotes]])</f>
        <v>20</v>
      </c>
      <c r="N793" s="11">
        <f>Table1[[#This Row],[TotalVotesCast]]/Table1[[#This Row],[RegisteredVoters]]</f>
        <v>0.98499999999999999</v>
      </c>
      <c r="O793" t="str">
        <f>IF(Table1[[#This Row],[RegisteredVoters]]=Table1[[#This Row],[TotalVotesCast]],"Match","")</f>
        <v/>
      </c>
    </row>
    <row r="794" spans="1:15" ht="13.2">
      <c r="A794" s="1" t="s">
        <v>922</v>
      </c>
      <c r="B794" t="s">
        <v>18</v>
      </c>
      <c r="C794" t="s">
        <v>19</v>
      </c>
      <c r="D794" t="s">
        <v>837</v>
      </c>
      <c r="E794">
        <v>1270</v>
      </c>
      <c r="F794">
        <v>630</v>
      </c>
      <c r="G794">
        <v>605</v>
      </c>
      <c r="H794">
        <v>20</v>
      </c>
      <c r="I794">
        <v>1255</v>
      </c>
      <c r="J794" s="8">
        <f>Table1[[#This Row],[PartyAVotes]]/Table1[[#This Row],[RegisteredVoters]]</f>
        <v>0.49606299212598426</v>
      </c>
      <c r="K794" s="8">
        <f>Table1[[#This Row],[PartyBVotes]]/Table1[[#This Row],[RegisteredVoters]]</f>
        <v>0.4763779527559055</v>
      </c>
      <c r="L794" s="8">
        <f>Table1[[#This Row],[PartyCVotes]]/Table1[[#This Row],[RegisteredVoters]]</f>
        <v>1.5748031496062992E-2</v>
      </c>
      <c r="M794">
        <f>ABS(Table1[[#This Row],[PartyAVotes]]-Table1[[#This Row],[PartyBVotes]])</f>
        <v>25</v>
      </c>
      <c r="N794" s="11">
        <f>Table1[[#This Row],[TotalVotesCast]]/Table1[[#This Row],[RegisteredVoters]]</f>
        <v>0.98818897637795278</v>
      </c>
      <c r="O794" t="str">
        <f>IF(Table1[[#This Row],[RegisteredVoters]]=Table1[[#This Row],[TotalVotesCast]],"Match","")</f>
        <v/>
      </c>
    </row>
    <row r="795" spans="1:15" ht="13.2">
      <c r="A795" s="1" t="s">
        <v>923</v>
      </c>
      <c r="B795" t="s">
        <v>21</v>
      </c>
      <c r="C795" t="s">
        <v>23</v>
      </c>
      <c r="D795" t="s">
        <v>819</v>
      </c>
      <c r="E795">
        <v>1330</v>
      </c>
      <c r="F795">
        <v>660</v>
      </c>
      <c r="G795">
        <v>635</v>
      </c>
      <c r="H795">
        <v>20</v>
      </c>
      <c r="I795">
        <v>1315</v>
      </c>
      <c r="J795" s="8">
        <f>Table1[[#This Row],[PartyAVotes]]/Table1[[#This Row],[RegisteredVoters]]</f>
        <v>0.49624060150375937</v>
      </c>
      <c r="K795" s="8">
        <f>Table1[[#This Row],[PartyBVotes]]/Table1[[#This Row],[RegisteredVoters]]</f>
        <v>0.47744360902255639</v>
      </c>
      <c r="L795" s="8">
        <f>Table1[[#This Row],[PartyCVotes]]/Table1[[#This Row],[RegisteredVoters]]</f>
        <v>1.5037593984962405E-2</v>
      </c>
      <c r="M795">
        <f>ABS(Table1[[#This Row],[PartyAVotes]]-Table1[[#This Row],[PartyBVotes]])</f>
        <v>25</v>
      </c>
      <c r="N795" s="11">
        <f>Table1[[#This Row],[TotalVotesCast]]/Table1[[#This Row],[RegisteredVoters]]</f>
        <v>0.98872180451127822</v>
      </c>
      <c r="O795" t="str">
        <f>IF(Table1[[#This Row],[RegisteredVoters]]=Table1[[#This Row],[TotalVotesCast]],"Match","")</f>
        <v/>
      </c>
    </row>
    <row r="796" spans="1:15" ht="13.2">
      <c r="A796" s="1" t="s">
        <v>924</v>
      </c>
      <c r="B796" t="s">
        <v>10</v>
      </c>
      <c r="C796" t="s">
        <v>11</v>
      </c>
      <c r="D796" t="s">
        <v>891</v>
      </c>
      <c r="E796">
        <v>870</v>
      </c>
      <c r="F796">
        <v>425</v>
      </c>
      <c r="G796">
        <v>405</v>
      </c>
      <c r="H796">
        <v>10</v>
      </c>
      <c r="I796">
        <v>840</v>
      </c>
      <c r="J796" s="8">
        <f>Table1[[#This Row],[PartyAVotes]]/Table1[[#This Row],[RegisteredVoters]]</f>
        <v>0.4885057471264368</v>
      </c>
      <c r="K796" s="8">
        <f>Table1[[#This Row],[PartyBVotes]]/Table1[[#This Row],[RegisteredVoters]]</f>
        <v>0.46551724137931033</v>
      </c>
      <c r="L796" s="8">
        <f>Table1[[#This Row],[PartyCVotes]]/Table1[[#This Row],[RegisteredVoters]]</f>
        <v>1.1494252873563218E-2</v>
      </c>
      <c r="M796">
        <f>ABS(Table1[[#This Row],[PartyAVotes]]-Table1[[#This Row],[PartyBVotes]])</f>
        <v>20</v>
      </c>
      <c r="N796" s="11">
        <f>Table1[[#This Row],[TotalVotesCast]]/Table1[[#This Row],[RegisteredVoters]]</f>
        <v>0.96551724137931039</v>
      </c>
      <c r="O796" t="str">
        <f>IF(Table1[[#This Row],[RegisteredVoters]]=Table1[[#This Row],[TotalVotesCast]],"Match","")</f>
        <v/>
      </c>
    </row>
    <row r="797" spans="1:15" ht="13.2">
      <c r="A797" s="1" t="s">
        <v>925</v>
      </c>
      <c r="B797" t="s">
        <v>15</v>
      </c>
      <c r="C797" t="s">
        <v>16</v>
      </c>
      <c r="D797" t="s">
        <v>891</v>
      </c>
      <c r="E797">
        <v>1170</v>
      </c>
      <c r="F797">
        <v>575</v>
      </c>
      <c r="G797">
        <v>555</v>
      </c>
      <c r="H797">
        <v>15</v>
      </c>
      <c r="I797">
        <v>1145</v>
      </c>
      <c r="J797" s="8">
        <f>Table1[[#This Row],[PartyAVotes]]/Table1[[#This Row],[RegisteredVoters]]</f>
        <v>0.49145299145299143</v>
      </c>
      <c r="K797" s="8">
        <f>Table1[[#This Row],[PartyBVotes]]/Table1[[#This Row],[RegisteredVoters]]</f>
        <v>0.47435897435897434</v>
      </c>
      <c r="L797" s="8">
        <f>Table1[[#This Row],[PartyCVotes]]/Table1[[#This Row],[RegisteredVoters]]</f>
        <v>1.282051282051282E-2</v>
      </c>
      <c r="M797">
        <f>ABS(Table1[[#This Row],[PartyAVotes]]-Table1[[#This Row],[PartyBVotes]])</f>
        <v>20</v>
      </c>
      <c r="N797" s="11">
        <f>Table1[[#This Row],[TotalVotesCast]]/Table1[[#This Row],[RegisteredVoters]]</f>
        <v>0.9786324786324786</v>
      </c>
      <c r="O797" t="str">
        <f>IF(Table1[[#This Row],[RegisteredVoters]]=Table1[[#This Row],[TotalVotesCast]],"Match","")</f>
        <v/>
      </c>
    </row>
    <row r="798" spans="1:15" ht="13.2">
      <c r="A798" s="1" t="s">
        <v>926</v>
      </c>
      <c r="B798" t="s">
        <v>18</v>
      </c>
      <c r="C798" t="s">
        <v>20</v>
      </c>
      <c r="D798" t="s">
        <v>927</v>
      </c>
      <c r="E798">
        <v>1260</v>
      </c>
      <c r="F798">
        <v>625</v>
      </c>
      <c r="G798">
        <v>605</v>
      </c>
      <c r="H798">
        <v>15</v>
      </c>
      <c r="I798">
        <v>1245</v>
      </c>
      <c r="J798" s="8">
        <f>Table1[[#This Row],[PartyAVotes]]/Table1[[#This Row],[RegisteredVoters]]</f>
        <v>0.49603174603174605</v>
      </c>
      <c r="K798" s="8">
        <f>Table1[[#This Row],[PartyBVotes]]/Table1[[#This Row],[RegisteredVoters]]</f>
        <v>0.48015873015873017</v>
      </c>
      <c r="L798" s="8">
        <f>Table1[[#This Row],[PartyCVotes]]/Table1[[#This Row],[RegisteredVoters]]</f>
        <v>1.1904761904761904E-2</v>
      </c>
      <c r="M798">
        <f>ABS(Table1[[#This Row],[PartyAVotes]]-Table1[[#This Row],[PartyBVotes]])</f>
        <v>20</v>
      </c>
      <c r="N798" s="11">
        <f>Table1[[#This Row],[TotalVotesCast]]/Table1[[#This Row],[RegisteredVoters]]</f>
        <v>0.98809523809523814</v>
      </c>
      <c r="O798" t="str">
        <f>IF(Table1[[#This Row],[RegisteredVoters]]=Table1[[#This Row],[TotalVotesCast]],"Match","")</f>
        <v/>
      </c>
    </row>
    <row r="799" spans="1:15" ht="13.2">
      <c r="A799" s="1" t="s">
        <v>928</v>
      </c>
      <c r="B799" t="s">
        <v>21</v>
      </c>
      <c r="C799" t="s">
        <v>22</v>
      </c>
      <c r="D799" t="s">
        <v>882</v>
      </c>
      <c r="E799">
        <v>1520</v>
      </c>
      <c r="F799">
        <v>745</v>
      </c>
      <c r="G799">
        <v>715</v>
      </c>
      <c r="H799">
        <v>25</v>
      </c>
      <c r="I799">
        <v>1485</v>
      </c>
      <c r="J799" s="8">
        <f>Table1[[#This Row],[PartyAVotes]]/Table1[[#This Row],[RegisteredVoters]]</f>
        <v>0.49013157894736842</v>
      </c>
      <c r="K799" s="8">
        <f>Table1[[#This Row],[PartyBVotes]]/Table1[[#This Row],[RegisteredVoters]]</f>
        <v>0.47039473684210525</v>
      </c>
      <c r="L799" s="8">
        <f>Table1[[#This Row],[PartyCVotes]]/Table1[[#This Row],[RegisteredVoters]]</f>
        <v>1.6447368421052631E-2</v>
      </c>
      <c r="M799">
        <f>ABS(Table1[[#This Row],[PartyAVotes]]-Table1[[#This Row],[PartyBVotes]])</f>
        <v>30</v>
      </c>
      <c r="N799" s="11">
        <f>Table1[[#This Row],[TotalVotesCast]]/Table1[[#This Row],[RegisteredVoters]]</f>
        <v>0.97697368421052633</v>
      </c>
      <c r="O799" t="str">
        <f>IF(Table1[[#This Row],[RegisteredVoters]]=Table1[[#This Row],[TotalVotesCast]],"Match","")</f>
        <v/>
      </c>
    </row>
    <row r="800" spans="1:15" ht="13.2">
      <c r="A800" s="1" t="s">
        <v>929</v>
      </c>
      <c r="B800" t="s">
        <v>10</v>
      </c>
      <c r="C800" t="s">
        <v>14</v>
      </c>
      <c r="D800" t="s">
        <v>837</v>
      </c>
      <c r="E800">
        <v>960</v>
      </c>
      <c r="F800">
        <v>470</v>
      </c>
      <c r="G800">
        <v>450</v>
      </c>
      <c r="H800">
        <v>15</v>
      </c>
      <c r="I800">
        <v>935</v>
      </c>
      <c r="J800" s="8">
        <f>Table1[[#This Row],[PartyAVotes]]/Table1[[#This Row],[RegisteredVoters]]</f>
        <v>0.48958333333333331</v>
      </c>
      <c r="K800" s="8">
        <f>Table1[[#This Row],[PartyBVotes]]/Table1[[#This Row],[RegisteredVoters]]</f>
        <v>0.46875</v>
      </c>
      <c r="L800" s="8">
        <f>Table1[[#This Row],[PartyCVotes]]/Table1[[#This Row],[RegisteredVoters]]</f>
        <v>1.5625E-2</v>
      </c>
      <c r="M800">
        <f>ABS(Table1[[#This Row],[PartyAVotes]]-Table1[[#This Row],[PartyBVotes]])</f>
        <v>20</v>
      </c>
      <c r="N800" s="11">
        <f>Table1[[#This Row],[TotalVotesCast]]/Table1[[#This Row],[RegisteredVoters]]</f>
        <v>0.97395833333333337</v>
      </c>
      <c r="O800" t="str">
        <f>IF(Table1[[#This Row],[RegisteredVoters]]=Table1[[#This Row],[TotalVotesCast]],"Match","")</f>
        <v/>
      </c>
    </row>
    <row r="801" spans="1:15" ht="13.2">
      <c r="A801" s="1" t="s">
        <v>930</v>
      </c>
      <c r="B801" t="s">
        <v>15</v>
      </c>
      <c r="C801" t="s">
        <v>17</v>
      </c>
      <c r="D801" t="s">
        <v>819</v>
      </c>
      <c r="E801">
        <v>1010</v>
      </c>
      <c r="F801">
        <v>500</v>
      </c>
      <c r="G801">
        <v>480</v>
      </c>
      <c r="H801">
        <v>15</v>
      </c>
      <c r="I801">
        <v>995</v>
      </c>
      <c r="J801" s="8">
        <f>Table1[[#This Row],[PartyAVotes]]/Table1[[#This Row],[RegisteredVoters]]</f>
        <v>0.49504950495049505</v>
      </c>
      <c r="K801" s="8">
        <f>Table1[[#This Row],[PartyBVotes]]/Table1[[#This Row],[RegisteredVoters]]</f>
        <v>0.47524752475247523</v>
      </c>
      <c r="L801" s="8">
        <f>Table1[[#This Row],[PartyCVotes]]/Table1[[#This Row],[RegisteredVoters]]</f>
        <v>1.4851485148514851E-2</v>
      </c>
      <c r="M801">
        <f>ABS(Table1[[#This Row],[PartyAVotes]]-Table1[[#This Row],[PartyBVotes]])</f>
        <v>20</v>
      </c>
      <c r="N801" s="11">
        <f>Table1[[#This Row],[TotalVotesCast]]/Table1[[#This Row],[RegisteredVoters]]</f>
        <v>0.98514851485148514</v>
      </c>
      <c r="O801" t="str">
        <f>IF(Table1[[#This Row],[RegisteredVoters]]=Table1[[#This Row],[TotalVotesCast]],"Match","")</f>
        <v/>
      </c>
    </row>
    <row r="802" spans="1:15" ht="13.2">
      <c r="A802" s="1" t="s">
        <v>931</v>
      </c>
      <c r="B802" t="s">
        <v>18</v>
      </c>
      <c r="C802" t="s">
        <v>19</v>
      </c>
      <c r="D802" t="s">
        <v>846</v>
      </c>
      <c r="E802">
        <v>1280</v>
      </c>
      <c r="F802">
        <v>635</v>
      </c>
      <c r="G802">
        <v>610</v>
      </c>
      <c r="H802">
        <v>20</v>
      </c>
      <c r="I802">
        <v>1265</v>
      </c>
      <c r="J802" s="8">
        <f>Table1[[#This Row],[PartyAVotes]]/Table1[[#This Row],[RegisteredVoters]]</f>
        <v>0.49609375</v>
      </c>
      <c r="K802" s="8">
        <f>Table1[[#This Row],[PartyBVotes]]/Table1[[#This Row],[RegisteredVoters]]</f>
        <v>0.4765625</v>
      </c>
      <c r="L802" s="8">
        <f>Table1[[#This Row],[PartyCVotes]]/Table1[[#This Row],[RegisteredVoters]]</f>
        <v>1.5625E-2</v>
      </c>
      <c r="M802">
        <f>ABS(Table1[[#This Row],[PartyAVotes]]-Table1[[#This Row],[PartyBVotes]])</f>
        <v>25</v>
      </c>
      <c r="N802" s="11">
        <f>Table1[[#This Row],[TotalVotesCast]]/Table1[[#This Row],[RegisteredVoters]]</f>
        <v>0.98828125</v>
      </c>
      <c r="O802" t="str">
        <f>IF(Table1[[#This Row],[RegisteredVoters]]=Table1[[#This Row],[TotalVotesCast]],"Match","")</f>
        <v/>
      </c>
    </row>
    <row r="803" spans="1:15" ht="13.2">
      <c r="A803" s="1" t="s">
        <v>932</v>
      </c>
      <c r="B803" t="s">
        <v>21</v>
      </c>
      <c r="C803" t="s">
        <v>23</v>
      </c>
      <c r="D803" t="s">
        <v>828</v>
      </c>
      <c r="E803">
        <v>1340</v>
      </c>
      <c r="F803">
        <v>665</v>
      </c>
      <c r="G803">
        <v>640</v>
      </c>
      <c r="H803">
        <v>20</v>
      </c>
      <c r="I803">
        <v>1325</v>
      </c>
      <c r="J803" s="8">
        <f>Table1[[#This Row],[PartyAVotes]]/Table1[[#This Row],[RegisteredVoters]]</f>
        <v>0.4962686567164179</v>
      </c>
      <c r="K803" s="8">
        <f>Table1[[#This Row],[PartyBVotes]]/Table1[[#This Row],[RegisteredVoters]]</f>
        <v>0.47761194029850745</v>
      </c>
      <c r="L803" s="8">
        <f>Table1[[#This Row],[PartyCVotes]]/Table1[[#This Row],[RegisteredVoters]]</f>
        <v>1.4925373134328358E-2</v>
      </c>
      <c r="M803">
        <f>ABS(Table1[[#This Row],[PartyAVotes]]-Table1[[#This Row],[PartyBVotes]])</f>
        <v>25</v>
      </c>
      <c r="N803" s="11">
        <f>Table1[[#This Row],[TotalVotesCast]]/Table1[[#This Row],[RegisteredVoters]]</f>
        <v>0.98880597014925375</v>
      </c>
      <c r="O803" t="str">
        <f>IF(Table1[[#This Row],[RegisteredVoters]]=Table1[[#This Row],[TotalVotesCast]],"Match","")</f>
        <v/>
      </c>
    </row>
  </sheetData>
  <sheetProtection algorithmName="SHA-512" hashValue="1WX0Bj0DXaRpDboGE0eQSu2jG+Gsy1vvyFrWpKmFVrA3JZMGX9V4ua2J5R6IxyOEc+5OcP8R66HiVLHsgeEHTg==" saltValue="qWqAnT0LlrRrweq0NNi1Kw==" spinCount="100000" sheet="1" objects="1" scenarios="1" selectLockedCells="1"/>
  <conditionalFormatting sqref="F2:H803">
    <cfRule type="containsBlanks" dxfId="10" priority="1">
      <formula>LEN(TRIM(F2))=0</formula>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E4BE2-8DFC-41F4-AE54-A2BD16766F46}">
  <sheetPr codeName="Sheet8">
    <tabColor theme="2" tint="-0.499984740745262"/>
  </sheetPr>
  <dimension ref="A1:T25"/>
  <sheetViews>
    <sheetView showGridLines="0" showRowColHeaders="0" workbookViewId="0">
      <selection activeCell="G11" sqref="G11"/>
      <extLst>
        <ext xmlns:xlsdti="http://schemas.microsoft.com/office/spreadsheetml/2023/showDataTypeIcons" uri="{77bfe23e-c014-4d31-8a63-9c772dbf06b6}">
          <xlsdti:showDataTypeIcons visible="0"/>
        </ext>
      </extLst>
    </sheetView>
  </sheetViews>
  <sheetFormatPr defaultColWidth="0" defaultRowHeight="13.2" zeroHeight="1"/>
  <cols>
    <col min="1" max="1" width="9" customWidth="1"/>
    <col min="2" max="2" width="12.88671875" bestFit="1" customWidth="1"/>
    <col min="3" max="3" width="23" bestFit="1" customWidth="1"/>
    <col min="4" max="4" width="41.21875" customWidth="1"/>
    <col min="5" max="5" width="32" customWidth="1"/>
    <col min="6" max="20" width="8.88671875" customWidth="1"/>
    <col min="21" max="16384" width="8.88671875" hidden="1"/>
  </cols>
  <sheetData>
    <row r="1" spans="1:5" ht="13.2" customHeight="1">
      <c r="E1" s="20"/>
    </row>
    <row r="2" spans="1:5" s="4" customFormat="1"/>
    <row r="3" spans="1:5">
      <c r="E3" s="21"/>
    </row>
    <row r="4" spans="1:5">
      <c r="E4" s="21"/>
    </row>
    <row r="5" spans="1:5">
      <c r="E5" s="21"/>
    </row>
    <row r="6" spans="1:5" ht="26.4">
      <c r="A6" s="22" t="s">
        <v>933</v>
      </c>
      <c r="B6" s="22" t="s">
        <v>961</v>
      </c>
      <c r="C6" s="22" t="s">
        <v>962</v>
      </c>
      <c r="D6" s="22" t="s">
        <v>963</v>
      </c>
      <c r="E6" s="23" t="s">
        <v>964</v>
      </c>
    </row>
    <row r="7" spans="1:5" ht="26.4">
      <c r="A7" s="31">
        <v>1</v>
      </c>
      <c r="B7" s="31" t="s">
        <v>965</v>
      </c>
      <c r="C7" s="30" t="s">
        <v>966</v>
      </c>
      <c r="D7" s="37" t="s">
        <v>967</v>
      </c>
      <c r="E7" s="24" t="s">
        <v>968</v>
      </c>
    </row>
    <row r="8" spans="1:5">
      <c r="A8" s="31"/>
      <c r="B8" s="31"/>
      <c r="C8" s="30"/>
      <c r="D8" s="37"/>
      <c r="E8" s="25"/>
    </row>
    <row r="9" spans="1:5">
      <c r="A9" s="31"/>
      <c r="B9" s="31"/>
      <c r="C9" s="30"/>
      <c r="D9" s="37"/>
      <c r="E9" s="26" t="s">
        <v>991</v>
      </c>
    </row>
    <row r="10" spans="1:5" ht="26.4">
      <c r="A10" s="35" t="s">
        <v>969</v>
      </c>
      <c r="B10" s="31" t="s">
        <v>970</v>
      </c>
      <c r="C10" s="30" t="s">
        <v>966</v>
      </c>
      <c r="D10" s="37" t="s">
        <v>967</v>
      </c>
      <c r="E10" s="24" t="s">
        <v>971</v>
      </c>
    </row>
    <row r="11" spans="1:5">
      <c r="A11" s="35"/>
      <c r="B11" s="31"/>
      <c r="C11" s="30"/>
      <c r="D11" s="37"/>
      <c r="E11" s="25"/>
    </row>
    <row r="12" spans="1:5" ht="13.2" customHeight="1">
      <c r="A12" s="35"/>
      <c r="B12" s="31"/>
      <c r="C12" s="30"/>
      <c r="D12" s="37"/>
      <c r="E12" s="26" t="s">
        <v>989</v>
      </c>
    </row>
    <row r="13" spans="1:5" ht="13.2" customHeight="1">
      <c r="A13" s="35" t="s">
        <v>972</v>
      </c>
      <c r="B13" s="31" t="s">
        <v>973</v>
      </c>
      <c r="C13" s="30" t="s">
        <v>974</v>
      </c>
      <c r="D13" s="37" t="s">
        <v>975</v>
      </c>
      <c r="E13" s="24" t="s">
        <v>976</v>
      </c>
    </row>
    <row r="14" spans="1:5" ht="13.2" customHeight="1">
      <c r="A14" s="35"/>
      <c r="B14" s="31"/>
      <c r="C14" s="30"/>
      <c r="D14" s="37"/>
      <c r="E14" s="25"/>
    </row>
    <row r="15" spans="1:5" ht="13.2" customHeight="1">
      <c r="A15" s="35"/>
      <c r="B15" s="31"/>
      <c r="C15" s="36"/>
      <c r="D15" s="37"/>
      <c r="E15" s="27" t="s">
        <v>990</v>
      </c>
    </row>
    <row r="16" spans="1:5" ht="13.2" customHeight="1">
      <c r="A16" s="31">
        <v>4</v>
      </c>
      <c r="B16" s="32" t="s">
        <v>977</v>
      </c>
      <c r="C16" s="24" t="s">
        <v>978</v>
      </c>
      <c r="D16" s="33" t="s">
        <v>980</v>
      </c>
      <c r="E16" s="34" t="s">
        <v>981</v>
      </c>
    </row>
    <row r="17" spans="1:5" ht="13.2" customHeight="1">
      <c r="A17" s="31"/>
      <c r="B17" s="32"/>
      <c r="C17" s="25"/>
      <c r="D17" s="33"/>
      <c r="E17" s="30"/>
    </row>
    <row r="18" spans="1:5" ht="13.2" customHeight="1">
      <c r="A18" s="31"/>
      <c r="B18" s="32"/>
      <c r="C18" s="28" t="s">
        <v>979</v>
      </c>
      <c r="D18" s="33"/>
      <c r="E18" s="30"/>
    </row>
    <row r="19" spans="1:5" ht="13.2" customHeight="1">
      <c r="A19" s="31">
        <v>5</v>
      </c>
      <c r="B19" s="32" t="s">
        <v>982</v>
      </c>
      <c r="C19" s="24" t="s">
        <v>983</v>
      </c>
      <c r="D19" s="33" t="s">
        <v>967</v>
      </c>
      <c r="E19" s="30" t="s">
        <v>992</v>
      </c>
    </row>
    <row r="20" spans="1:5" ht="13.2" customHeight="1">
      <c r="A20" s="31"/>
      <c r="B20" s="32"/>
      <c r="C20" s="25"/>
      <c r="D20" s="33"/>
      <c r="E20" s="30"/>
    </row>
    <row r="21" spans="1:5" ht="13.2" customHeight="1">
      <c r="A21" s="31"/>
      <c r="B21" s="32"/>
      <c r="C21" s="28" t="s">
        <v>984</v>
      </c>
      <c r="D21" s="33"/>
      <c r="E21" s="30"/>
    </row>
    <row r="22" spans="1:5" ht="13.2" customHeight="1">
      <c r="A22" s="31">
        <v>6</v>
      </c>
      <c r="B22" s="32" t="s">
        <v>977</v>
      </c>
      <c r="C22" s="24" t="s">
        <v>985</v>
      </c>
      <c r="D22" s="33" t="s">
        <v>987</v>
      </c>
      <c r="E22" s="30" t="s">
        <v>988</v>
      </c>
    </row>
    <row r="23" spans="1:5" ht="13.2" customHeight="1">
      <c r="A23" s="31"/>
      <c r="B23" s="32"/>
      <c r="C23" s="25"/>
      <c r="D23" s="33"/>
      <c r="E23" s="30"/>
    </row>
    <row r="24" spans="1:5" ht="13.2" customHeight="1">
      <c r="A24" s="31"/>
      <c r="B24" s="32"/>
      <c r="C24" s="29" t="s">
        <v>986</v>
      </c>
      <c r="D24" s="33"/>
      <c r="E24" s="30"/>
    </row>
    <row r="25" spans="1:5" hidden="1">
      <c r="C25" s="5"/>
      <c r="D25" s="5"/>
      <c r="E25" s="5"/>
    </row>
  </sheetData>
  <sheetProtection sheet="1" objects="1" scenarios="1" selectLockedCells="1"/>
  <mergeCells count="24">
    <mergeCell ref="A7:A9"/>
    <mergeCell ref="B7:B9"/>
    <mergeCell ref="C7:C9"/>
    <mergeCell ref="D7:D9"/>
    <mergeCell ref="A10:A12"/>
    <mergeCell ref="B10:B12"/>
    <mergeCell ref="C10:C12"/>
    <mergeCell ref="D10:D12"/>
    <mergeCell ref="A13:A15"/>
    <mergeCell ref="B13:B15"/>
    <mergeCell ref="C13:C15"/>
    <mergeCell ref="D13:D15"/>
    <mergeCell ref="A22:A24"/>
    <mergeCell ref="B22:B24"/>
    <mergeCell ref="D22:D24"/>
    <mergeCell ref="E22:E24"/>
    <mergeCell ref="A16:A18"/>
    <mergeCell ref="B16:B18"/>
    <mergeCell ref="D16:D18"/>
    <mergeCell ref="E16:E18"/>
    <mergeCell ref="A19:A21"/>
    <mergeCell ref="B19:B21"/>
    <mergeCell ref="D19:D21"/>
    <mergeCell ref="E19:E2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Home</vt:lpstr>
      <vt:lpstr>Sheet7</vt:lpstr>
      <vt:lpstr>Dashboard</vt:lpstr>
      <vt:lpstr>Deep_Insights</vt:lpstr>
      <vt:lpstr>Insights</vt:lpstr>
      <vt:lpstr>Contact_page</vt:lpstr>
      <vt:lpstr>Database</vt:lpstr>
      <vt:lpstr>cleaning_steps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Peter Obikpe</cp:lastModifiedBy>
  <dcterms:created xsi:type="dcterms:W3CDTF">2026-06-12T16:44:13Z</dcterms:created>
  <dcterms:modified xsi:type="dcterms:W3CDTF">2026-07-02T22:56:21Z</dcterms:modified>
</cp:coreProperties>
</file>